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CTAD$value" sheetId="1" r:id="rId4"/>
    <sheet state="visible" name="UNCTAD$partners" sheetId="2" r:id="rId5"/>
    <sheet state="visible" name="UNCTAD$products" sheetId="3" r:id="rId6"/>
    <sheet state="visible" name="WTO_plastics" sheetId="4" r:id="rId7"/>
    <sheet state="visible" name="WTO_textiles" sheetId="5" r:id="rId8"/>
    <sheet state="visible" name="WTO_rubber" sheetId="6" r:id="rId9"/>
    <sheet state="visible" name="WTO_pie" sheetId="7" r:id="rId10"/>
    <sheet state="visible" name="WTO_tables" sheetId="8" r:id="rId11"/>
  </sheets>
  <definedNames/>
  <calcPr/>
  <extLst>
    <ext uri="GoogleSheetsCustomDataVersion2">
      <go:sheetsCustomData xmlns:go="http://customooxmlschemas.google.com/" r:id="rId12" roundtripDataChecksum="ntaQAsSjuFZ9sRwDy8CoAOxNpsh6QUMpwDOmkPxti9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0">
      <text>
        <t xml:space="preserve">======
ID#AAABz0dlLNc
Lila Sakata    (2026-02-09 13:35:54)
amended to include only 4-digit items</t>
      </text>
    </comment>
    <comment authorId="0" ref="B4">
      <text>
        <t xml:space="preserve">======
ID#AAABz0dlLNY
Lila Sakata    (2026-02-09 13:35:46)
amended to include only 4-digit items</t>
      </text>
    </comment>
    <comment authorId="0" ref="B9">
      <text>
        <t xml:space="preserve">======
ID#AAABz0dlLNI
Lila Sakata    (2026-02-09 13:18:36)
Top 20 items</t>
      </text>
    </comment>
    <comment authorId="0" ref="B3">
      <text>
        <t xml:space="preserve">======
ID#AAABz0dlLNE
Lila Sakata    (2026-02-09 13:17:56)
Only top 20 items</t>
      </text>
    </comment>
  </commentList>
  <extLst>
    <ext uri="GoogleSheetsCustomDataVersion2">
      <go:sheetsCustomData xmlns:go="http://customooxmlschemas.google.com/" r:id="rId1" roundtripDataSignature="AMtx7mh7eTyLJyQwt3NzyfJ/YcvJqeNbQg=="/>
    </ext>
  </extLst>
</comments>
</file>

<file path=xl/sharedStrings.xml><?xml version="1.0" encoding="utf-8"?>
<sst xmlns="http://schemas.openxmlformats.org/spreadsheetml/2006/main" count="782" uniqueCount="289">
  <si>
    <t>Indicator</t>
  </si>
  <si>
    <t>Plastic import in primary forms</t>
  </si>
  <si>
    <t>Plastic export in primary forms</t>
  </si>
  <si>
    <t>Plastic import in intermediate forms</t>
  </si>
  <si>
    <t>Plastic export in intermediate forms</t>
  </si>
  <si>
    <t>Plastic import in intermediate goods</t>
  </si>
  <si>
    <t>Plastic export in intermediate goods</t>
  </si>
  <si>
    <t>Plastic import of final manufactured goods</t>
  </si>
  <si>
    <t>Plastic export of final manufactured goods</t>
  </si>
  <si>
    <t>Import of plastic waste</t>
  </si>
  <si>
    <t>Export of plastic waste</t>
  </si>
  <si>
    <t>Import of total plastics</t>
  </si>
  <si>
    <t>Export of total plastics</t>
  </si>
  <si>
    <t>Net plastic consumption</t>
  </si>
  <si>
    <t>Apparent plastic consumption (imports-exports)</t>
  </si>
  <si>
    <t>Trading partner</t>
  </si>
  <si>
    <t>Africa</t>
  </si>
  <si>
    <t>Americas</t>
  </si>
  <si>
    <t>Asia</t>
  </si>
  <si>
    <t>Europe</t>
  </si>
  <si>
    <t>Oceania</t>
  </si>
  <si>
    <t>Import of plastic packaging</t>
  </si>
  <si>
    <t>Export of plastic packaging</t>
  </si>
  <si>
    <t>Import of synthetic textiles</t>
  </si>
  <si>
    <t>Export of synthetic textiles</t>
  </si>
  <si>
    <t>Import of synthetic rubber</t>
  </si>
  <si>
    <t>Export of synthetic rubber</t>
  </si>
  <si>
    <t>Import</t>
  </si>
  <si>
    <t>Export</t>
  </si>
  <si>
    <t>Plastic packaging</t>
  </si>
  <si>
    <t>Synthetic textiles</t>
  </si>
  <si>
    <t>Synthetic rubber</t>
  </si>
  <si>
    <t>HS Code</t>
  </si>
  <si>
    <t>Description</t>
  </si>
  <si>
    <t>Share of Total (%)</t>
  </si>
  <si>
    <t>Value (Million USD)</t>
  </si>
  <si>
    <t>Reinforced or cellular plastic sheets and films</t>
  </si>
  <si>
    <t>Other plastic articles (n.e.s.)</t>
  </si>
  <si>
    <t>PVC and other halogenated polymers (primary form)</t>
  </si>
  <si>
    <t>Plastic packaging and closures</t>
  </si>
  <si>
    <t>Non-cellular plastic sheets and films</t>
  </si>
  <si>
    <t>Polyethylene (primary form)</t>
  </si>
  <si>
    <t>Polymers of propylene or of other olefins (primary form)</t>
  </si>
  <si>
    <t>Polyacetals, other polyethers and epoxide resins; polycarbonates, alkyd resins, polyallyl esters and other polyesters (primary forms)</t>
  </si>
  <si>
    <t>Self-adhesive plastic sheets and tapes</t>
  </si>
  <si>
    <t>Plastic pipes, tubes and fittings</t>
  </si>
  <si>
    <t>Polymers of styrene (primary form)</t>
  </si>
  <si>
    <t>Plastic building materials (n.e.s.)</t>
  </si>
  <si>
    <t>Plastic floor, wall and ceiling coverings</t>
  </si>
  <si>
    <t>Plastic waste and scrap</t>
  </si>
  <si>
    <t>Plastic rods, sticks and profiles</t>
  </si>
  <si>
    <t>Imports</t>
  </si>
  <si>
    <t>Product:</t>
  </si>
  <si>
    <t>PLASTICS AND ARTICLES THEREOF</t>
  </si>
  <si>
    <t>Rank</t>
  </si>
  <si>
    <t>Sector/HS code</t>
  </si>
  <si>
    <t>Value in US $</t>
  </si>
  <si>
    <t>Millions US $</t>
  </si>
  <si>
    <t>% Share</t>
  </si>
  <si>
    <t>Total - All Products</t>
  </si>
  <si>
    <t>29,937.63</t>
  </si>
  <si>
    <t>1,216.90</t>
  </si>
  <si>
    <t>Plates, sheets, film, foil and strip, of plastics, reinforced, laminated, supported or similarly combined with other materials, or of cellular plastic, unworked or merely surface-worked or merely cut into squares or rectangles (excl. self-adhesive products, floor, wall and ceiling coverings of heading 3918)</t>
  </si>
  <si>
    <t>Articles of plastics and articles of other materials of heading 3901 to 3914, n.e.s.</t>
  </si>
  <si>
    <t>Polymers of vinyl chloride or of other halogenated olefins, in primary forms</t>
  </si>
  <si>
    <t>Articles for the conveyance or packaging of goods, of plastics; stoppers, lids, caps and other closures, of plastics</t>
  </si>
  <si>
    <t>Plates, sheets, film, foil and strip, of non-cellular plastics, not reinforced, laminated, supported or similarly combined with other materials, without backing, unworked or merely surface-worked or merely cut into squares or rectangles (excl. self-adhesive products, and floor, wall and ceiling coverings of heading 3918)</t>
  </si>
  <si>
    <t>Polymers of ethylene, in primary forms</t>
  </si>
  <si>
    <t>Polymers of propylene or of other olefins, in primary forms</t>
  </si>
  <si>
    <t>Polyacetals, other polyethers and epoxide resins, in primary forms; polycarbonates, alkyd resins, polyallyl esters and other polyesters, in primary forms</t>
  </si>
  <si>
    <t>Self-adhesive plates, sheets, film, foil, tape, strip and other flat shapes, of plastics, whether or not in rolls (excl. floor, wall and ceiling coverings of heading 3918)</t>
  </si>
  <si>
    <t>Tubes, pipes and hoses, and fittings therefor, e.g. joints, elbows, flanges, of plastics</t>
  </si>
  <si>
    <t>Polymers of styrene, in primary forms</t>
  </si>
  <si>
    <t>Amino-resins, phenolic resins and polyurethanes, in primary forms</t>
  </si>
  <si>
    <t>Acrylic polymers, in primary forms</t>
  </si>
  <si>
    <t>Tableware, kitchenware, other household articles and toilet articles, of plastics (excl. baths, shower-baths, washbasins, bidets, lavatory pans, seats and covers, flushing cisterns and similar sanitary ware)</t>
  </si>
  <si>
    <t>Builders' ware of plastics, n.e.s.</t>
  </si>
  <si>
    <t>Polyamides, in primary forms</t>
  </si>
  <si>
    <t>Floor coverings of plastics, whether or not self-adhesive, in rolls or in the form of tiles; wall or ceiling coverings of plastics, in rolls with a width of &gt;= 45 cm, consisting of a layer of plastics fixed permanently on a backing of any material other than paper, the face side of which is grained, embossed, coloured, design-printed or otherwise decorated</t>
  </si>
  <si>
    <t>Polymers of vinyl acetate or of other vinyl esters, in primary forms; other vinyl polymers, in primary forms</t>
  </si>
  <si>
    <t>Silicones in primary forms.</t>
  </si>
  <si>
    <t>Monofilament of which any cross-sectional dimension &gt; 1 mm, rods, sticks and profile shapes, of plastics, whether or not surface-worked but not further worked</t>
  </si>
  <si>
    <t>Petroleum resins, coumarone-indene resins, polyterpenes, polysulphides, polysulphones and other polymers and prepolymers produced by chemical synthesis, n.e.s., in primary forms</t>
  </si>
  <si>
    <t>Baths, shower-baths, sinks, washbasins, bidets, lavatory pans, seats and covers, flushing cisterns and similar sanitary ware, of plastics</t>
  </si>
  <si>
    <t>Cellulose and its chemical derivatives, n.e.s., in primary forms</t>
  </si>
  <si>
    <t>Ion-exchangers based on polymers of headings 39.01 to 39.13, in primary forms.</t>
  </si>
  <si>
    <t>Natural polymers, e.g. alginic acid, and modified natural polymers, e.g. hardened proteins, chemical derivatives of natural rubber, n.e.s., in primary forms</t>
  </si>
  <si>
    <t>Waste, parings and scrap, of plastics</t>
  </si>
  <si>
    <t>Exports</t>
  </si>
  <si>
    <t>IMPORTS – HS 2022 (Filament Textiles)</t>
  </si>
  <si>
    <t>TOP 20 IMPORTS – HS 2022 (by Value)</t>
  </si>
  <si>
    <t>Top imports</t>
  </si>
  <si>
    <t>Woven fabrics of synthetic filament yarn</t>
  </si>
  <si>
    <t>Knitted fabrics &gt;30cm, non-elastic</t>
  </si>
  <si>
    <t>Sewing thread of man-made filaments</t>
  </si>
  <si>
    <t>Knitted fabrics &gt;30cm with elastomeric yarn</t>
  </si>
  <si>
    <t>Synthetic filament yarn (non-retail)</t>
  </si>
  <si>
    <t>Woven fabrics of synthetic staple fibres (&lt;85%, not cotton-mixed)</t>
  </si>
  <si>
    <t>Woven fabrics of artificial filament yarn</t>
  </si>
  <si>
    <t>Footwear parts and uppers</t>
  </si>
  <si>
    <t>Synthetic monofilament &amp; narrow strips</t>
  </si>
  <si>
    <t>Plastic-coated textile fabrics</t>
  </si>
  <si>
    <t>Man-made filament yarn (retail)</t>
  </si>
  <si>
    <t>imports</t>
  </si>
  <si>
    <t>exports</t>
  </si>
  <si>
    <t>Synthetic staple fibre yarn (non-retail)</t>
  </si>
  <si>
    <t>Artificial filament yarn (non-retail)</t>
  </si>
  <si>
    <t>Narrow woven fabrics</t>
  </si>
  <si>
    <t>EXPORTS – HS 2022 (Filament Textiles)</t>
  </si>
  <si>
    <t>Worn clothing and used textiles</t>
  </si>
  <si>
    <t>Sewing thread of man-made staple fibres</t>
  </si>
  <si>
    <t>Twine, ropes and cables</t>
  </si>
  <si>
    <t>Textile labels and badges</t>
  </si>
  <si>
    <t>Rubberised textile fabrics</t>
  </si>
  <si>
    <t>Tyre cord fabrics</t>
  </si>
  <si>
    <t>Nonwovens (n.e.s.)</t>
  </si>
  <si>
    <t>Artificial staple fibre yarn (non-retail)</t>
  </si>
  <si>
    <t>IMPORTS – HS 2022 (Staple Fibre Textiles)</t>
  </si>
  <si>
    <t>Tulles, nets and lace</t>
  </si>
  <si>
    <t>Textile sacks and bags for packing</t>
  </si>
  <si>
    <t>TOP 20 EXPORTS – HS 2022 (by Value)</t>
  </si>
  <si>
    <t>Top exports</t>
  </si>
  <si>
    <t>Woven synthetic staple fabrics (&lt;85%) mixed with cotton, ≤170 g/m²</t>
  </si>
  <si>
    <t>Woven fabrics of synthetic staple fibres (≥85%)</t>
  </si>
  <si>
    <t>Jerseys, pullovers and cardigans</t>
  </si>
  <si>
    <t>Woven synthetic staple fabrics (&lt;85%) mixed with cotton, &gt;170 g/m²</t>
  </si>
  <si>
    <t>Women’s knitted suits, dresses and trousers</t>
  </si>
  <si>
    <t>Synthetic staple fibres, unprocessed</t>
  </si>
  <si>
    <t>Women’s woven suits, dresses and trousers</t>
  </si>
  <si>
    <t>Man-made staple fibre yarn (retail)</t>
  </si>
  <si>
    <t>T-shirts and vests (knitted)</t>
  </si>
  <si>
    <t>Artificial staple fibres, unprocessed</t>
  </si>
  <si>
    <t>Men’s knitted suits and trousers</t>
  </si>
  <si>
    <t>Artificial filament tow</t>
  </si>
  <si>
    <t>Textile upper footwear</t>
  </si>
  <si>
    <t>Rubber and plastic footwear</t>
  </si>
  <si>
    <t>EXPORTS – HS 2022 (Staple Fibre Textiles)</t>
  </si>
  <si>
    <t>Women’s knitted underwear and sleepwear</t>
  </si>
  <si>
    <t>Babies’ knitted garments</t>
  </si>
  <si>
    <t>Men’s knitted underwear and sleepwear</t>
  </si>
  <si>
    <t>Tracksuits, skiwear and swimwear (knitted)</t>
  </si>
  <si>
    <t>Men’s knitted coats and jackets</t>
  </si>
  <si>
    <t>Men’s woven shirts</t>
  </si>
  <si>
    <t>Men’s woven coats and jackets</t>
  </si>
  <si>
    <t>Women’s knitted coats and jackets</t>
  </si>
  <si>
    <t>Women’s woven blouses and shirts</t>
  </si>
  <si>
    <t>Coated, laminated and nonwoven garments</t>
  </si>
  <si>
    <t>Synthetic staple fibres, processed for spinning</t>
  </si>
  <si>
    <t>Brassieres, corsets and similar articles</t>
  </si>
  <si>
    <t>Women’s woven coats and jackets</t>
  </si>
  <si>
    <t>Textile labels &amp; badges</t>
  </si>
  <si>
    <t>IMPORTS – HS 2022 (Decorative &amp; Narrow Textiles)</t>
  </si>
  <si>
    <t>Tulles, nets &amp; lace</t>
  </si>
  <si>
    <t>Braids &amp; ornamental trimmings</t>
  </si>
  <si>
    <t>Terry towelling &amp; tufted fabrics</t>
  </si>
  <si>
    <t>Embroidery</t>
  </si>
  <si>
    <t>Pile &amp; chenille fabrics</t>
  </si>
  <si>
    <t>Metallic thread woven fabrics</t>
  </si>
  <si>
    <t>Quilted textile products</t>
  </si>
  <si>
    <t>Gauze fabrics</t>
  </si>
  <si>
    <t>Hand-woven &amp; needle-worked tapestries</t>
  </si>
  <si>
    <t>EXPORTS – HS 2022 (Decorative &amp; Narrow Textiles)</t>
  </si>
  <si>
    <t>IMPORTS – HS 2022 (Twine, Nonwovens &amp; Specialty Textiles)</t>
  </si>
  <si>
    <t>Twine, ropes &amp; cables</t>
  </si>
  <si>
    <t>Rubber-coated textile yarn &amp; cord</t>
  </si>
  <si>
    <t>Textile wadding &amp; flock</t>
  </si>
  <si>
    <t>Gimped &amp; chenille yarn</t>
  </si>
  <si>
    <t>Other articles of yarn, twine &amp; rope (n.e.s.)</t>
  </si>
  <si>
    <t>Felt (n.e.s.)</t>
  </si>
  <si>
    <t>Knotted nets &amp; fishing nets</t>
  </si>
  <si>
    <t>Metallised yarn</t>
  </si>
  <si>
    <t>EXPORTS – HS 2022 (Twine, Nonwovens &amp; Specialty Textiles)</t>
  </si>
  <si>
    <t>IMPORTS – HS 2022 (Coated &amp; Technical Textiles)</t>
  </si>
  <si>
    <t>Gum- or starch-coated textiles (book cloth, canvas, buckram)</t>
  </si>
  <si>
    <t>Technical textile products</t>
  </si>
  <si>
    <t>Other coated / painted textile fabrics</t>
  </si>
  <si>
    <t>Textile wall coverings</t>
  </si>
  <si>
    <t>Textile hoses &amp; tubing</t>
  </si>
  <si>
    <t>Textile conveyor &amp; transmission belts</t>
  </si>
  <si>
    <t>Textile wicks &amp; gas mantles</t>
  </si>
  <si>
    <t>Linoleum &amp; textile-backed floor coverings</t>
  </si>
  <si>
    <t>EXPORTS – HS 2022 (Coated &amp; Technical Textiles)</t>
  </si>
  <si>
    <t>IMPORTS – HS 2022 (Knitted &amp; Crocheted Fabrics)</t>
  </si>
  <si>
    <t>Knitted fabrics ≤30cm with elastomeric yarn</t>
  </si>
  <si>
    <t>Pile &amp; terry knitted fabrics</t>
  </si>
  <si>
    <t>Warp knit fabrics &gt;30cm</t>
  </si>
  <si>
    <t>Knitted fabrics ≤30cm, non-elastic</t>
  </si>
  <si>
    <t>EXPORTS – HS 2022 (Knitted &amp; Crocheted Fabrics)</t>
  </si>
  <si>
    <t>IMPORTS – HS 2022 (Knitted Apparel)</t>
  </si>
  <si>
    <t>Knitted clothing accessories &amp; parts (n.e.s.)</t>
  </si>
  <si>
    <t>T-shirts &amp; vests (knitted)</t>
  </si>
  <si>
    <t>Men’s knitted coats &amp; jackets</t>
  </si>
  <si>
    <t>Jerseys, pullovers &amp; cardigans</t>
  </si>
  <si>
    <t>Women’s knitted suits, dresses &amp; trousers</t>
  </si>
  <si>
    <t>Hosiery &amp; socks (knitted)</t>
  </si>
  <si>
    <t>Men’s knitted shirts</t>
  </si>
  <si>
    <t>Women’s knitted underwear &amp; sleepwear</t>
  </si>
  <si>
    <t>Men’s knitted suits &amp; trousers</t>
  </si>
  <si>
    <t>Special purpose knitted garments</t>
  </si>
  <si>
    <t>Knitted gloves &amp; mittens</t>
  </si>
  <si>
    <t>EXPORTS – HS 2022 (Knitted Apparel)</t>
  </si>
  <si>
    <t>Men’s knitted underwear &amp; sleepwear</t>
  </si>
  <si>
    <t>Tracksuits, skiwear &amp; swimwear (knitted)</t>
  </si>
  <si>
    <t>Women’s knitted coats &amp; jackets</t>
  </si>
  <si>
    <t>IMPORTS – HS 2022 (Woven Apparel)</t>
  </si>
  <si>
    <t>Woven clothing accessories &amp; parts (n.e.s.)</t>
  </si>
  <si>
    <t>Men’s woven suits &amp; trousers</t>
  </si>
  <si>
    <t>Women’s woven suits, dresses &amp; trousers</t>
  </si>
  <si>
    <t>Coated, laminated &amp; nonwoven garments</t>
  </si>
  <si>
    <t>Brassieres, corsets &amp; similar articles</t>
  </si>
  <si>
    <t>Babies’ woven garments</t>
  </si>
  <si>
    <t>Women’s woven blouses &amp; shirts</t>
  </si>
  <si>
    <t>Woven tracksuits, swimwear &amp; other garments</t>
  </si>
  <si>
    <t>Women’s woven coats &amp; jackets</t>
  </si>
  <si>
    <t>Woven gloves &amp; mittens</t>
  </si>
  <si>
    <t>EXPORTS – HS 2022 (Woven Apparel)</t>
  </si>
  <si>
    <t>Men’s woven coats &amp; jackets</t>
  </si>
  <si>
    <t>Women’s woven underwear &amp; sleepwear</t>
  </si>
  <si>
    <t>IMPORTS – HS 2022 (Made-up Textile Articles)</t>
  </si>
  <si>
    <t>Worn clothing &amp; used textiles</t>
  </si>
  <si>
    <t>Textile sacks &amp; bags for packing</t>
  </si>
  <si>
    <t>Other made-up textile articles (n.e.s.)</t>
  </si>
  <si>
    <t>Blankets &amp; travelling rugs</t>
  </si>
  <si>
    <t>Tarpaulins, tents &amp; camping textiles</t>
  </si>
  <si>
    <t>Bed, table &amp; kitchen linen</t>
  </si>
  <si>
    <t>Interior furnishing textiles</t>
  </si>
  <si>
    <t>Curtains &amp; interior blinds</t>
  </si>
  <si>
    <t>Rags &amp; textile scrap</t>
  </si>
  <si>
    <t>Textile craft &amp; embroidery kits</t>
  </si>
  <si>
    <t>EXPORTS – HS 2022 (Made-up Textile Articles)</t>
  </si>
  <si>
    <t>IMPORTS – HS 2022 (Footwear &amp; Parts)</t>
  </si>
  <si>
    <t>Footwear parts &amp; uppers</t>
  </si>
  <si>
    <t>Rubber &amp; plastic footwear</t>
  </si>
  <si>
    <t>Leather footwear</t>
  </si>
  <si>
    <t>Other footwear (n.e.s.)</t>
  </si>
  <si>
    <t>Waterproof rubber/plastic footwear</t>
  </si>
  <si>
    <t>EXPORTS – HS 2022 (Footwear &amp; Parts)</t>
  </si>
  <si>
    <t>IMPORTS – HS 2022 (Headgear)</t>
  </si>
  <si>
    <t>Other headgear (n.e.s.)</t>
  </si>
  <si>
    <t>Knitted &amp; textile hats, hair-nets</t>
  </si>
  <si>
    <t>Plaited or strip-assembled hats</t>
  </si>
  <si>
    <t>Felt hat bodies &amp; hoods</t>
  </si>
  <si>
    <t>Headgear parts &amp; accessories</t>
  </si>
  <si>
    <t>EXPORTS – HS 2022 (Headgear)</t>
  </si>
  <si>
    <t>Hat-shapes, plaited strips</t>
  </si>
  <si>
    <t>Synthetic rubber &amp; rubber blends</t>
  </si>
  <si>
    <t>Other vulcanised rubber articles (n.e.s.)</t>
  </si>
  <si>
    <t>New rubber tyres</t>
  </si>
  <si>
    <t>Vulcanised rubber sheets &amp; profiles</t>
  </si>
  <si>
    <t>Unvulcanised compounded rubber</t>
  </si>
  <si>
    <t>Rubber gloves &amp; clothing</t>
  </si>
  <si>
    <t>Rubber inner tubes</t>
  </si>
  <si>
    <t>Unvulcanised rubber rods &amp; profiles</t>
  </si>
  <si>
    <t>Rubber hoses &amp; pipes</t>
  </si>
  <si>
    <t>Rubber conveyor &amp; transmission belts</t>
  </si>
  <si>
    <t>Natural rubber (primary form)</t>
  </si>
  <si>
    <t>Used &amp; retreaded tyres</t>
  </si>
  <si>
    <t>Reclaimed rubber</t>
  </si>
  <si>
    <t>IMPORTS</t>
  </si>
  <si>
    <t>4 digit codes</t>
  </si>
  <si>
    <t>RUBBER AND ARTICLES THEREOF</t>
  </si>
  <si>
    <t>Synthetic rubber and factice derived from oils, in primary forms or in plates, sheets or strip; mixtures of natural rubber, balata, gutta-percha, guayule, chicle or similar types of natural rubber with synthetic rubber or factice, in primary forms or in plates, sheets or strip</t>
  </si>
  <si>
    <t>Articles of vulcanised rubber (excl. hard rubber), n.e.s.</t>
  </si>
  <si>
    <t>New pneumatic tyres, of rubber</t>
  </si>
  <si>
    <t>Plates, sheets, strip, rods and profile shapes, of vulcanised rubber (excl. hard rubber)</t>
  </si>
  <si>
    <t>Compounded rubber, unvulcanised, in primary forms or in plates, sheets or strip (excl. mixtures of natural rubber, balata, gutta-percha, guayule, chicle and similar natural gums containing synthetic rubber or factice derived from oils)</t>
  </si>
  <si>
    <t>Articles of apparel and clothing accessories, incl. gloves, mittens and mitts, for all purposes, of vulcanised rubber (excl. hard rubber and footwear and headgear and parts thereof)</t>
  </si>
  <si>
    <t>Inner tubes, of rubber</t>
  </si>
  <si>
    <t>Rods, bars, tubes, profiles and other forms of unvulcanised rubber, incl. mixed rubber, and articles of unvulcanised rubber, incl. mixed rubber (excl. plates, sheets and strip which, apart from basic surface-working, have not been cut, or have merely been cut into square or rectangular shapes)</t>
  </si>
  <si>
    <t>Tubes, pipes and hoses, of vulcanised rubber other than hard rubber, with or without their fittings, e.g. joints, elbows, flanges</t>
  </si>
  <si>
    <t>Conveyor or transmission belts or belting, of vulcanised rubber</t>
  </si>
  <si>
    <t>Natural rubber, balata, gutta-percha, guayule, chicle and similar natural gums, in primary forms or in plates, sheets or strip</t>
  </si>
  <si>
    <t>Hygienic or pharmaceutical articles, incl. teats, of vulcanised rubber (excl. hard rubber), with or without fittings of hard rubber, n.e.s. (excl. articles of apparel and clothing accessories, incl. gloves, for all purposes)</t>
  </si>
  <si>
    <t>Vulcanised rubber thread and cord.</t>
  </si>
  <si>
    <t>Retreaded or used pneumatic tyres of rubber; solid or cushion tyres, tyre treads and tyre flaps, of rubber</t>
  </si>
  <si>
    <t>Reclaimed rubber in primary forms or in plates, sheets or strip.</t>
  </si>
  <si>
    <t>Waste, parings and scrap of rubber (other than hard rubber) and powders and granules obtained therefrom.</t>
  </si>
  <si>
    <t>Hard rubber (for example, ebonite) in all forms, including waste and scrap; articles of hard rubber.</t>
  </si>
  <si>
    <t>EXPORTS</t>
  </si>
  <si>
    <t>Group</t>
  </si>
  <si>
    <t>Import Value (million USD)</t>
  </si>
  <si>
    <t>Plastics and articles thereof</t>
  </si>
  <si>
    <t>Rubber and articles thereof</t>
  </si>
  <si>
    <t>Textiles, apparel, and footwear</t>
  </si>
  <si>
    <t>Export Value (million USD)</t>
  </si>
  <si>
    <t>Note all categories are sums of top 20 items only (when available) from WTO database</t>
  </si>
  <si>
    <t>Other plastic articles (not elsewhere specified (n.e.s))</t>
  </si>
  <si>
    <t>Synthetic rubber and rubber blends</t>
  </si>
  <si>
    <t>Rubber gloves and clothing</t>
  </si>
</sst>
</file>

<file path=xl/styles.xml><?xml version="1.0" encoding="utf-8"?>
<styleSheet xmlns="http://schemas.openxmlformats.org/spreadsheetml/2006/main" xmlns:x14ac="http://schemas.microsoft.com/office/spreadsheetml/2009/9/ac" xmlns:mc="http://schemas.openxmlformats.org/markup-compatibility/2006">
  <fonts count="19">
    <font>
      <sz val="12.0"/>
      <color theme="1"/>
      <name val="Verdana"/>
      <scheme val="minor"/>
    </font>
    <font>
      <b/>
      <sz val="12.0"/>
      <color theme="1"/>
      <name val="Aptos Narrow"/>
    </font>
    <font>
      <sz val="12.0"/>
      <color theme="1"/>
      <name val="Aptos Narrow"/>
    </font>
    <font>
      <color theme="1"/>
      <name val="Verdana"/>
      <scheme val="minor"/>
    </font>
    <font>
      <sz val="12.0"/>
      <color theme="1"/>
      <name val="Arial"/>
    </font>
    <font>
      <sz val="12.0"/>
      <color rgb="FF000000"/>
      <name val="Aptos Narrow"/>
    </font>
    <font>
      <b/>
      <sz val="11.0"/>
      <color rgb="FF000000"/>
      <name val="Calibri"/>
    </font>
    <font>
      <sz val="12.0"/>
      <color rgb="FF1A1A1A"/>
      <name val="Arial"/>
    </font>
    <font>
      <sz val="11.0"/>
      <color rgb="FF000000"/>
      <name val="Calibri"/>
    </font>
    <font>
      <b/>
      <color theme="1"/>
      <name val="Verdana"/>
      <scheme val="minor"/>
    </font>
    <font>
      <b/>
      <sz val="11.0"/>
      <color theme="1"/>
      <name val="Calibri"/>
    </font>
    <font>
      <sz val="11.0"/>
      <color theme="1"/>
      <name val="Calibri"/>
    </font>
    <font>
      <color theme="1"/>
      <name val="Arial"/>
    </font>
    <font>
      <sz val="11.0"/>
      <color theme="1"/>
      <name val="Verdana"/>
      <scheme val="minor"/>
    </font>
    <font>
      <b/>
      <sz val="11.0"/>
      <color theme="1"/>
      <name val="Aptos Narrow"/>
    </font>
    <font/>
    <font>
      <sz val="11.0"/>
      <color theme="1"/>
      <name val="Aptos Narrow"/>
    </font>
    <font>
      <b/>
      <sz val="11.0"/>
      <color rgb="FF1A1A1A"/>
      <name val="Arial"/>
    </font>
    <font>
      <sz val="11.0"/>
      <color theme="1"/>
      <name val="Arial"/>
    </font>
  </fonts>
  <fills count="3">
    <fill>
      <patternFill patternType="none"/>
    </fill>
    <fill>
      <patternFill patternType="lightGray"/>
    </fill>
    <fill>
      <patternFill patternType="solid">
        <fgColor rgb="FFFFFF00"/>
        <bgColor rgb="FFFFFF00"/>
      </patternFill>
    </fill>
  </fills>
  <borders count="3">
    <border/>
    <border>
      <bottom style="thin">
        <color rgb="FF000000"/>
      </bottom>
    </border>
    <border>
      <top style="thin">
        <color rgb="FF000000"/>
      </top>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0" fontId="1" numFmtId="0" xfId="0" applyBorder="1" applyFont="1"/>
    <xf borderId="0" fillId="0" fontId="2" numFmtId="3" xfId="0" applyFont="1" applyNumberFormat="1"/>
    <xf borderId="0" fillId="0" fontId="2" numFmtId="0" xfId="0" applyFont="1"/>
    <xf borderId="0" fillId="0" fontId="3" numFmtId="0" xfId="0" applyFont="1"/>
    <xf borderId="0" fillId="0" fontId="4" numFmtId="3" xfId="0" applyAlignment="1" applyFont="1" applyNumberFormat="1">
      <alignment readingOrder="0"/>
    </xf>
    <xf borderId="0" fillId="0" fontId="1" numFmtId="0" xfId="0" applyFont="1"/>
    <xf borderId="0" fillId="0" fontId="5" numFmtId="3" xfId="0" applyFont="1" applyNumberFormat="1"/>
    <xf borderId="0" fillId="0" fontId="2" numFmtId="4" xfId="0" applyFont="1" applyNumberFormat="1"/>
    <xf borderId="0" fillId="0" fontId="2" numFmtId="0" xfId="0" applyAlignment="1" applyFont="1">
      <alignment shrinkToFit="0" wrapText="1"/>
    </xf>
    <xf borderId="1" fillId="0" fontId="2" numFmtId="0" xfId="0" applyBorder="1" applyFont="1"/>
    <xf borderId="0" fillId="0" fontId="1" numFmtId="0" xfId="0" applyAlignment="1" applyFont="1">
      <alignment horizontal="right"/>
    </xf>
    <xf borderId="0" fillId="0" fontId="2" numFmtId="10" xfId="0" applyFont="1" applyNumberFormat="1"/>
    <xf borderId="0" fillId="0" fontId="2" numFmtId="2" xfId="0" applyFont="1" applyNumberFormat="1"/>
    <xf borderId="0" fillId="0" fontId="6" numFmtId="0" xfId="0" applyAlignment="1" applyFont="1">
      <alignment horizontal="left"/>
    </xf>
    <xf borderId="0" fillId="0" fontId="2" numFmtId="0" xfId="0" applyAlignment="1" applyFont="1">
      <alignment horizontal="left"/>
    </xf>
    <xf borderId="0" fillId="0" fontId="7" numFmtId="0" xfId="0" applyAlignment="1" applyFont="1">
      <alignment horizontal="left" readingOrder="0"/>
    </xf>
    <xf borderId="0" fillId="2" fontId="3" numFmtId="0" xfId="0" applyFill="1" applyFont="1"/>
    <xf borderId="0" fillId="0" fontId="8" numFmtId="0" xfId="0" applyAlignment="1" applyFont="1">
      <alignment horizontal="left"/>
    </xf>
    <xf borderId="0" fillId="0" fontId="9" numFmtId="0" xfId="0" applyFont="1"/>
    <xf borderId="0" fillId="0" fontId="1" numFmtId="4" xfId="0" applyFont="1" applyNumberFormat="1"/>
    <xf borderId="0" fillId="0" fontId="10" numFmtId="0" xfId="0" applyFont="1"/>
    <xf borderId="0" fillId="0" fontId="11" numFmtId="0" xfId="0" applyFont="1"/>
    <xf borderId="0" fillId="0" fontId="11" numFmtId="4" xfId="0" applyFont="1" applyNumberFormat="1"/>
    <xf borderId="0" fillId="0" fontId="3" numFmtId="0" xfId="0" applyAlignment="1" applyFont="1">
      <alignment readingOrder="0"/>
    </xf>
    <xf borderId="0" fillId="0" fontId="12" numFmtId="0" xfId="0" applyAlignment="1" applyFont="1">
      <alignment readingOrder="0"/>
    </xf>
    <xf borderId="0" fillId="0" fontId="13" numFmtId="0" xfId="0" applyFont="1"/>
    <xf borderId="1" fillId="0" fontId="14" numFmtId="0" xfId="0" applyAlignment="1" applyBorder="1" applyFont="1">
      <alignment horizontal="center"/>
    </xf>
    <xf borderId="2" fillId="0" fontId="14" numFmtId="0" xfId="0" applyAlignment="1" applyBorder="1" applyFont="1">
      <alignment horizontal="center"/>
    </xf>
    <xf borderId="2" fillId="0" fontId="15" numFmtId="0" xfId="0" applyBorder="1" applyFont="1"/>
    <xf borderId="0" fillId="0" fontId="16" numFmtId="4" xfId="0" applyFont="1" applyNumberFormat="1"/>
    <xf borderId="2" fillId="0" fontId="17" numFmtId="0" xfId="0" applyAlignment="1" applyBorder="1" applyFont="1">
      <alignment horizontal="center" readingOrder="0"/>
    </xf>
    <xf borderId="0" fillId="0" fontId="18" numFmtId="0" xfId="0" applyAlignment="1" applyFont="1">
      <alignment readingOrder="0"/>
    </xf>
    <xf borderId="1" fillId="0" fontId="16" numFmtId="0" xfId="0" applyBorder="1" applyFont="1"/>
    <xf borderId="1" fillId="0" fontId="18" numFmtId="0" xfId="0" applyAlignment="1" applyBorder="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38383"/>
                </a:solidFill>
                <a:latin typeface="+mn-lt"/>
              </a:defRPr>
            </a:pPr>
            <a:r>
              <a:rPr b="0">
                <a:solidFill>
                  <a:srgbClr val="838383"/>
                </a:solidFill>
                <a:latin typeface="+mn-lt"/>
              </a:rPr>
              <a:t>Apparent plastic consumption (imports-exports)</a:t>
            </a:r>
          </a:p>
        </c:rich>
      </c:tx>
      <c:overlay val="0"/>
    </c:title>
    <c:plotArea>
      <c:layout/>
      <c:barChart>
        <c:barDir val="col"/>
        <c:ser>
          <c:idx val="0"/>
          <c:order val="0"/>
          <c:tx>
            <c:strRef>
              <c:f>'UNCTAD$value'!$A$18</c:f>
            </c:strRef>
          </c:tx>
          <c:spPr>
            <a:solidFill>
              <a:schemeClr val="accent1"/>
            </a:solidFill>
            <a:ln cmpd="sng">
              <a:solidFill>
                <a:srgbClr val="000000"/>
              </a:solidFill>
            </a:ln>
          </c:spPr>
          <c:cat>
            <c:strRef>
              <c:f>'UNCTAD$value'!$B$17:$G$17</c:f>
            </c:strRef>
          </c:cat>
          <c:val>
            <c:numRef>
              <c:f>'UNCTAD$value'!$B$18:$G$18</c:f>
              <c:numCache/>
            </c:numRef>
          </c:val>
        </c:ser>
        <c:axId val="1889095313"/>
        <c:axId val="987717690"/>
      </c:barChart>
      <c:catAx>
        <c:axId val="1889095313"/>
        <c:scaling>
          <c:orientation val="minMax"/>
        </c:scaling>
        <c:delete val="0"/>
        <c:axPos val="b"/>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none"/>
        <c:minorTickMark val="none"/>
        <c:spPr/>
        <c:txPr>
          <a:bodyPr/>
          <a:lstStyle/>
          <a:p>
            <a:pPr lvl="0">
              <a:defRPr b="0">
                <a:solidFill>
                  <a:srgbClr val="1A1A1A"/>
                </a:solidFill>
                <a:latin typeface="+mn-lt"/>
              </a:defRPr>
            </a:pPr>
          </a:p>
        </c:txPr>
        <c:crossAx val="987717690"/>
      </c:catAx>
      <c:valAx>
        <c:axId val="9877176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Value (million USD)</a:t>
                </a:r>
              </a:p>
            </c:rich>
          </c:tx>
          <c:overlay val="0"/>
        </c:title>
        <c:numFmt formatCode="General" sourceLinked="1"/>
        <c:majorTickMark val="none"/>
        <c:minorTickMark val="none"/>
        <c:tickLblPos val="nextTo"/>
        <c:spPr>
          <a:ln/>
        </c:spPr>
        <c:txPr>
          <a:bodyPr/>
          <a:lstStyle/>
          <a:p>
            <a:pPr lvl="0">
              <a:defRPr b="0">
                <a:solidFill>
                  <a:srgbClr val="1A1A1A"/>
                </a:solidFill>
                <a:latin typeface="+mn-lt"/>
              </a:defRPr>
            </a:pPr>
          </a:p>
        </c:txPr>
        <c:crossAx val="1889095313"/>
      </c:valAx>
    </c:plotArea>
    <c:legend>
      <c:legendPos val="r"/>
      <c:overlay val="0"/>
      <c:txPr>
        <a:bodyPr/>
        <a:lstStyle/>
        <a:p>
          <a:pPr lvl="0">
            <a:defRPr b="0">
              <a:solidFill>
                <a:srgbClr val="313131"/>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38383"/>
                </a:solidFill>
                <a:latin typeface="+mn-lt"/>
              </a:defRPr>
            </a:pPr>
            <a:r>
              <a:rPr b="0">
                <a:solidFill>
                  <a:srgbClr val="838383"/>
                </a:solidFill>
                <a:latin typeface="+mn-lt"/>
              </a:rPr>
              <a:t>Import and export of total plastics (2022)</a:t>
            </a:r>
          </a:p>
        </c:rich>
      </c:tx>
      <c:overlay val="0"/>
    </c:title>
    <c:plotArea>
      <c:layout/>
      <c:barChart>
        <c:barDir val="col"/>
        <c:grouping val="stacked"/>
        <c:ser>
          <c:idx val="0"/>
          <c:order val="0"/>
          <c:tx>
            <c:strRef>
              <c:f>'UNCTAD$partners'!$M$11</c:f>
            </c:strRef>
          </c:tx>
          <c:spPr>
            <a:solidFill>
              <a:schemeClr val="accent1"/>
            </a:solidFill>
            <a:ln cmpd="sng">
              <a:solidFill>
                <a:srgbClr val="000000"/>
              </a:solidFill>
            </a:ln>
          </c:spPr>
          <c:cat>
            <c:strRef>
              <c:f>'UNCTAD$partners'!$N$10:$R$10</c:f>
            </c:strRef>
          </c:cat>
          <c:val>
            <c:numRef>
              <c:f>'UNCTAD$partners'!$N$11:$R$11</c:f>
              <c:numCache/>
            </c:numRef>
          </c:val>
        </c:ser>
        <c:ser>
          <c:idx val="1"/>
          <c:order val="1"/>
          <c:tx>
            <c:strRef>
              <c:f>'UNCTAD$partners'!$M$12</c:f>
            </c:strRef>
          </c:tx>
          <c:spPr>
            <a:solidFill>
              <a:schemeClr val="accent2"/>
            </a:solidFill>
            <a:ln cmpd="sng">
              <a:solidFill>
                <a:srgbClr val="000000"/>
              </a:solidFill>
            </a:ln>
          </c:spPr>
          <c:cat>
            <c:strRef>
              <c:f>'UNCTAD$partners'!$N$10:$R$10</c:f>
            </c:strRef>
          </c:cat>
          <c:val>
            <c:numRef>
              <c:f>'UNCTAD$partners'!$N$12:$R$12</c:f>
              <c:numCache/>
            </c:numRef>
          </c:val>
        </c:ser>
        <c:overlap val="100"/>
        <c:axId val="1924758032"/>
        <c:axId val="1114261464"/>
      </c:barChart>
      <c:catAx>
        <c:axId val="1924758032"/>
        <c:scaling>
          <c:orientation val="minMax"/>
        </c:scaling>
        <c:delete val="0"/>
        <c:axPos val="b"/>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none"/>
        <c:minorTickMark val="none"/>
        <c:spPr/>
        <c:txPr>
          <a:bodyPr/>
          <a:lstStyle/>
          <a:p>
            <a:pPr lvl="0">
              <a:defRPr b="0">
                <a:solidFill>
                  <a:srgbClr val="1A1A1A"/>
                </a:solidFill>
                <a:latin typeface="+mn-lt"/>
              </a:defRPr>
            </a:pPr>
          </a:p>
        </c:txPr>
        <c:crossAx val="1114261464"/>
      </c:catAx>
      <c:valAx>
        <c:axId val="11142614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Value (million USD)</a:t>
                </a:r>
              </a:p>
            </c:rich>
          </c:tx>
          <c:overlay val="0"/>
        </c:title>
        <c:numFmt formatCode="General" sourceLinked="1"/>
        <c:majorTickMark val="none"/>
        <c:minorTickMark val="none"/>
        <c:tickLblPos val="nextTo"/>
        <c:spPr>
          <a:ln/>
        </c:spPr>
        <c:txPr>
          <a:bodyPr/>
          <a:lstStyle/>
          <a:p>
            <a:pPr lvl="0">
              <a:defRPr b="0">
                <a:solidFill>
                  <a:srgbClr val="1A1A1A"/>
                </a:solidFill>
                <a:latin typeface="+mn-lt"/>
              </a:defRPr>
            </a:pPr>
          </a:p>
        </c:txPr>
        <c:crossAx val="1924758032"/>
      </c:valAx>
    </c:plotArea>
    <c:legend>
      <c:legendPos val="r"/>
      <c:overlay val="0"/>
      <c:txPr>
        <a:bodyPr/>
        <a:lstStyle/>
        <a:p>
          <a:pPr lvl="0">
            <a:defRPr b="0">
              <a:solidFill>
                <a:srgbClr val="313131"/>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838383"/>
                </a:solidFill>
                <a:latin typeface="+mn-lt"/>
              </a:defRPr>
            </a:pPr>
            <a:r>
              <a:rPr b="0" i="0" sz="1400">
                <a:solidFill>
                  <a:srgbClr val="838383"/>
                </a:solidFill>
                <a:latin typeface="+mn-lt"/>
              </a:rPr>
              <a:t>Import vs export on spotlight products 2022</a:t>
            </a:r>
          </a:p>
        </c:rich>
      </c:tx>
      <c:overlay val="0"/>
    </c:title>
    <c:plotArea>
      <c:layout/>
      <c:barChart>
        <c:barDir val="col"/>
        <c:grouping val="stacked"/>
        <c:ser>
          <c:idx val="0"/>
          <c:order val="0"/>
          <c:tx>
            <c:v>Import</c:v>
          </c:tx>
          <c:spPr>
            <a:solidFill>
              <a:schemeClr val="accent6"/>
            </a:solidFill>
            <a:ln cmpd="sng">
              <a:solidFill>
                <a:srgbClr val="000000"/>
              </a:solidFill>
            </a:ln>
          </c:spPr>
          <c:cat>
            <c:strRef>
              <c:f>'UNCTAD$products'!$A$17:$A$19</c:f>
            </c:strRef>
          </c:cat>
          <c:val>
            <c:numRef>
              <c:f>'UNCTAD$products'!$B$17:$B$19</c:f>
              <c:numCache/>
            </c:numRef>
          </c:val>
        </c:ser>
        <c:ser>
          <c:idx val="1"/>
          <c:order val="1"/>
          <c:tx>
            <c:v>Export</c:v>
          </c:tx>
          <c:spPr>
            <a:solidFill>
              <a:schemeClr val="accent6"/>
            </a:solidFill>
            <a:ln cmpd="sng">
              <a:solidFill>
                <a:srgbClr val="000000"/>
              </a:solidFill>
            </a:ln>
          </c:spPr>
          <c:cat>
            <c:strRef>
              <c:f>'UNCTAD$products'!$A$17:$A$19</c:f>
            </c:strRef>
          </c:cat>
          <c:val>
            <c:numRef>
              <c:f>'UNCTAD$products'!$C$17:$C$19</c:f>
              <c:numCache/>
            </c:numRef>
          </c:val>
        </c:ser>
        <c:overlap val="100"/>
        <c:axId val="1761776093"/>
        <c:axId val="2039779394"/>
      </c:barChart>
      <c:catAx>
        <c:axId val="1761776093"/>
        <c:scaling>
          <c:orientation val="minMax"/>
        </c:scaling>
        <c:delete val="0"/>
        <c:axPos val="b"/>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none"/>
        <c:minorTickMark val="none"/>
        <c:spPr/>
        <c:txPr>
          <a:bodyPr/>
          <a:lstStyle/>
          <a:p>
            <a:pPr lvl="0">
              <a:defRPr b="0" i="0" sz="900">
                <a:solidFill>
                  <a:srgbClr val="1A1A1A"/>
                </a:solidFill>
                <a:latin typeface="+mn-lt"/>
              </a:defRPr>
            </a:pPr>
          </a:p>
        </c:txPr>
        <c:crossAx val="2039779394"/>
      </c:catAx>
      <c:valAx>
        <c:axId val="2039779394"/>
        <c:scaling>
          <c:orientation val="minMax"/>
        </c:scaling>
        <c:delete val="0"/>
        <c:axPos val="l"/>
        <c:majorGridlines>
          <c:spPr>
            <a:ln>
              <a:solidFill>
                <a:srgbClr val="B7B7B7"/>
              </a:solidFill>
            </a:ln>
          </c:spPr>
        </c:majorGridlines>
        <c:title>
          <c:tx>
            <c:rich>
              <a:bodyPr/>
              <a:lstStyle/>
              <a:p>
                <a:pPr lvl="0">
                  <a:defRPr b="0" i="0" sz="1000">
                    <a:solidFill>
                      <a:srgbClr val="1A1A1A"/>
                    </a:solidFill>
                    <a:latin typeface="+mn-lt"/>
                  </a:defRPr>
                </a:pPr>
                <a:r>
                  <a:rPr b="0" i="0" sz="1000">
                    <a:solidFill>
                      <a:srgbClr val="1A1A1A"/>
                    </a:solidFill>
                    <a:latin typeface="+mn-lt"/>
                  </a:rPr>
                  <a:t>Value (million USD)</a:t>
                </a:r>
              </a:p>
            </c:rich>
          </c:tx>
          <c:overlay val="0"/>
        </c:title>
        <c:numFmt formatCode="General" sourceLinked="1"/>
        <c:majorTickMark val="none"/>
        <c:minorTickMark val="none"/>
        <c:tickLblPos val="nextTo"/>
        <c:spPr>
          <a:ln/>
        </c:spPr>
        <c:txPr>
          <a:bodyPr/>
          <a:lstStyle/>
          <a:p>
            <a:pPr lvl="0">
              <a:defRPr b="0" i="0" sz="900">
                <a:solidFill>
                  <a:srgbClr val="1A1A1A"/>
                </a:solidFill>
                <a:latin typeface="+mn-lt"/>
              </a:defRPr>
            </a:pPr>
          </a:p>
        </c:txPr>
        <c:crossAx val="1761776093"/>
      </c:valAx>
    </c:plotArea>
    <c:legend>
      <c:legendPos val="b"/>
      <c:overlay val="0"/>
      <c:txPr>
        <a:bodyPr/>
        <a:lstStyle/>
        <a:p>
          <a:pPr lvl="0">
            <a:defRPr b="0" i="0" sz="900">
              <a:solidFill>
                <a:srgbClr val="313131"/>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838383"/>
                </a:solidFill>
                <a:latin typeface="+mn-lt"/>
              </a:defRPr>
            </a:pPr>
            <a:r>
              <a:rPr b="0" i="0" sz="1400">
                <a:solidFill>
                  <a:srgbClr val="838383"/>
                </a:solidFill>
                <a:latin typeface="+mn-lt"/>
              </a:rPr>
              <a:t>Plastic  Packaging</a:t>
            </a:r>
          </a:p>
        </c:rich>
      </c:tx>
      <c:overlay val="0"/>
    </c:title>
    <c:plotArea>
      <c:layout/>
      <c:lineChart>
        <c:ser>
          <c:idx val="0"/>
          <c:order val="0"/>
          <c:tx>
            <c:v>Import of plastic packaging</c:v>
          </c:tx>
          <c:spPr>
            <a:ln cmpd="sng" w="28575">
              <a:solidFill>
                <a:schemeClr val="accent6"/>
              </a:solidFill>
            </a:ln>
          </c:spPr>
          <c:marker>
            <c:symbol val="none"/>
          </c:marker>
          <c:cat>
            <c:strRef>
              <c:f>'UNCTAD$products'!$B$1:$G$1</c:f>
            </c:strRef>
          </c:cat>
          <c:val>
            <c:numRef>
              <c:f>'UNCTAD$products'!$B$24:$G$24</c:f>
              <c:numCache/>
            </c:numRef>
          </c:val>
          <c:smooth val="0"/>
        </c:ser>
        <c:ser>
          <c:idx val="1"/>
          <c:order val="1"/>
          <c:tx>
            <c:v>Export of plastic packaging</c:v>
          </c:tx>
          <c:spPr>
            <a:ln cmpd="sng" w="28575">
              <a:solidFill>
                <a:schemeClr val="accent6"/>
              </a:solidFill>
            </a:ln>
          </c:spPr>
          <c:marker>
            <c:symbol val="none"/>
          </c:marker>
          <c:cat>
            <c:strRef>
              <c:f>'UNCTAD$products'!$B$1:$G$1</c:f>
            </c:strRef>
          </c:cat>
          <c:val>
            <c:numRef>
              <c:f>'UNCTAD$products'!$B$25:$G$25</c:f>
              <c:numCache/>
            </c:numRef>
          </c:val>
          <c:smooth val="0"/>
        </c:ser>
        <c:axId val="230030783"/>
        <c:axId val="499387467"/>
      </c:lineChart>
      <c:catAx>
        <c:axId val="230030783"/>
        <c:scaling>
          <c:orientation val="minMax"/>
        </c:scaling>
        <c:delete val="0"/>
        <c:axPos val="b"/>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none"/>
        <c:minorTickMark val="none"/>
        <c:spPr/>
        <c:txPr>
          <a:bodyPr/>
          <a:lstStyle/>
          <a:p>
            <a:pPr lvl="0">
              <a:defRPr b="0" i="0" sz="900">
                <a:solidFill>
                  <a:srgbClr val="1A1A1A"/>
                </a:solidFill>
                <a:latin typeface="+mn-lt"/>
              </a:defRPr>
            </a:pPr>
          </a:p>
        </c:txPr>
        <c:crossAx val="499387467"/>
      </c:catAx>
      <c:valAx>
        <c:axId val="499387467"/>
        <c:scaling>
          <c:orientation val="minMax"/>
          <c:max val="2000.0"/>
        </c:scaling>
        <c:delete val="0"/>
        <c:axPos val="l"/>
        <c:majorGridlines>
          <c:spPr>
            <a:ln>
              <a:solidFill>
                <a:srgbClr val="B7B7B7"/>
              </a:solidFill>
            </a:ln>
          </c:spPr>
        </c:majorGridlines>
        <c:title>
          <c:tx>
            <c:rich>
              <a:bodyPr/>
              <a:lstStyle/>
              <a:p>
                <a:pPr lvl="0">
                  <a:defRPr b="0" i="0" sz="1000">
                    <a:solidFill>
                      <a:srgbClr val="1A1A1A"/>
                    </a:solidFill>
                    <a:latin typeface="+mn-lt"/>
                  </a:defRPr>
                </a:pPr>
                <a:r>
                  <a:rPr b="0" i="0" sz="1000">
                    <a:solidFill>
                      <a:srgbClr val="1A1A1A"/>
                    </a:solidFill>
                    <a:latin typeface="+mn-lt"/>
                  </a:rPr>
                  <a:t>Value (million uSD)</a:t>
                </a:r>
              </a:p>
            </c:rich>
          </c:tx>
          <c:overlay val="0"/>
        </c:title>
        <c:numFmt formatCode="General" sourceLinked="1"/>
        <c:majorTickMark val="none"/>
        <c:minorTickMark val="none"/>
        <c:tickLblPos val="nextTo"/>
        <c:spPr>
          <a:ln/>
        </c:spPr>
        <c:txPr>
          <a:bodyPr/>
          <a:lstStyle/>
          <a:p>
            <a:pPr lvl="0">
              <a:defRPr b="0" i="0" sz="900">
                <a:solidFill>
                  <a:srgbClr val="1A1A1A"/>
                </a:solidFill>
                <a:latin typeface="+mn-lt"/>
              </a:defRPr>
            </a:pPr>
          </a:p>
        </c:txPr>
        <c:crossAx val="230030783"/>
      </c:valAx>
    </c:plotArea>
    <c:legend>
      <c:legendPos val="b"/>
      <c:overlay val="0"/>
      <c:txPr>
        <a:bodyPr/>
        <a:lstStyle/>
        <a:p>
          <a:pPr lvl="0">
            <a:defRPr b="0" i="0" sz="900">
              <a:solidFill>
                <a:srgbClr val="313131"/>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838383"/>
                </a:solidFill>
                <a:latin typeface="+mn-lt"/>
              </a:defRPr>
            </a:pPr>
            <a:r>
              <a:rPr b="0" i="0" sz="1400">
                <a:solidFill>
                  <a:srgbClr val="838383"/>
                </a:solidFill>
                <a:latin typeface="+mn-lt"/>
              </a:rPr>
              <a:t>Synthetic textiles</a:t>
            </a:r>
          </a:p>
        </c:rich>
      </c:tx>
      <c:overlay val="0"/>
    </c:title>
    <c:plotArea>
      <c:layout/>
      <c:lineChart>
        <c:ser>
          <c:idx val="0"/>
          <c:order val="0"/>
          <c:tx>
            <c:v>Import of synthetic textiles</c:v>
          </c:tx>
          <c:spPr>
            <a:ln cmpd="sng" w="28575">
              <a:solidFill>
                <a:schemeClr val="accent6"/>
              </a:solidFill>
            </a:ln>
          </c:spPr>
          <c:marker>
            <c:symbol val="none"/>
          </c:marker>
          <c:cat>
            <c:strRef>
              <c:f>'UNCTAD$products'!$B$27:$G$27</c:f>
            </c:strRef>
          </c:cat>
          <c:val>
            <c:numRef>
              <c:f>'UNCTAD$products'!$B$28:$G$28</c:f>
              <c:numCache/>
            </c:numRef>
          </c:val>
          <c:smooth val="0"/>
        </c:ser>
        <c:ser>
          <c:idx val="1"/>
          <c:order val="1"/>
          <c:tx>
            <c:v>Export of synthetic textiles</c:v>
          </c:tx>
          <c:spPr>
            <a:ln cmpd="sng" w="28575">
              <a:solidFill>
                <a:schemeClr val="accent6"/>
              </a:solidFill>
            </a:ln>
          </c:spPr>
          <c:marker>
            <c:symbol val="none"/>
          </c:marker>
          <c:cat>
            <c:strRef>
              <c:f>'UNCTAD$products'!$B$27:$G$27</c:f>
            </c:strRef>
          </c:cat>
          <c:val>
            <c:numRef>
              <c:f>'UNCTAD$products'!$B$29:$G$29</c:f>
              <c:numCache/>
            </c:numRef>
          </c:val>
          <c:smooth val="0"/>
        </c:ser>
        <c:axId val="1144971852"/>
        <c:axId val="669083733"/>
      </c:lineChart>
      <c:catAx>
        <c:axId val="1144971852"/>
        <c:scaling>
          <c:orientation val="minMax"/>
        </c:scaling>
        <c:delete val="0"/>
        <c:axPos val="b"/>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none"/>
        <c:minorTickMark val="none"/>
        <c:spPr/>
        <c:txPr>
          <a:bodyPr/>
          <a:lstStyle/>
          <a:p>
            <a:pPr lvl="0">
              <a:defRPr b="0" i="0" sz="900">
                <a:solidFill>
                  <a:srgbClr val="1A1A1A"/>
                </a:solidFill>
                <a:latin typeface="+mn-lt"/>
              </a:defRPr>
            </a:pPr>
          </a:p>
        </c:txPr>
        <c:crossAx val="669083733"/>
      </c:catAx>
      <c:valAx>
        <c:axId val="669083733"/>
        <c:scaling>
          <c:orientation val="minMax"/>
        </c:scaling>
        <c:delete val="0"/>
        <c:axPos val="l"/>
        <c:majorGridlines>
          <c:spPr>
            <a:ln>
              <a:solidFill>
                <a:srgbClr val="B7B7B7"/>
              </a:solidFill>
            </a:ln>
          </c:spPr>
        </c:majorGridlines>
        <c:title>
          <c:tx>
            <c:rich>
              <a:bodyPr/>
              <a:lstStyle/>
              <a:p>
                <a:pPr lvl="0">
                  <a:defRPr b="0" i="0" sz="1000">
                    <a:solidFill>
                      <a:srgbClr val="1A1A1A"/>
                    </a:solidFill>
                    <a:latin typeface="+mn-lt"/>
                  </a:defRPr>
                </a:pPr>
                <a:r>
                  <a:rPr b="0" i="0" sz="1000">
                    <a:solidFill>
                      <a:srgbClr val="1A1A1A"/>
                    </a:solidFill>
                    <a:latin typeface="+mn-lt"/>
                  </a:rPr>
                  <a:t>Value (million USD)</a:t>
                </a:r>
              </a:p>
            </c:rich>
          </c:tx>
          <c:overlay val="0"/>
        </c:title>
        <c:numFmt formatCode="General" sourceLinked="1"/>
        <c:majorTickMark val="none"/>
        <c:minorTickMark val="none"/>
        <c:tickLblPos val="nextTo"/>
        <c:spPr>
          <a:ln/>
        </c:spPr>
        <c:txPr>
          <a:bodyPr/>
          <a:lstStyle/>
          <a:p>
            <a:pPr lvl="0">
              <a:defRPr b="0" i="0" sz="900">
                <a:solidFill>
                  <a:srgbClr val="1A1A1A"/>
                </a:solidFill>
                <a:latin typeface="+mn-lt"/>
              </a:defRPr>
            </a:pPr>
          </a:p>
        </c:txPr>
        <c:crossAx val="1144971852"/>
      </c:valAx>
    </c:plotArea>
    <c:legend>
      <c:legendPos val="b"/>
      <c:overlay val="0"/>
      <c:txPr>
        <a:bodyPr/>
        <a:lstStyle/>
        <a:p>
          <a:pPr lvl="0">
            <a:defRPr b="0" i="0" sz="900">
              <a:solidFill>
                <a:srgbClr val="313131"/>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838383"/>
                </a:solidFill>
                <a:latin typeface="+mn-lt"/>
              </a:defRPr>
            </a:pPr>
            <a:r>
              <a:rPr b="0" i="0" sz="1400">
                <a:solidFill>
                  <a:srgbClr val="838383"/>
                </a:solidFill>
                <a:latin typeface="+mn-lt"/>
              </a:rPr>
              <a:t>Synthetic rubber</a:t>
            </a:r>
          </a:p>
        </c:rich>
      </c:tx>
      <c:overlay val="0"/>
    </c:title>
    <c:plotArea>
      <c:layout/>
      <c:lineChart>
        <c:ser>
          <c:idx val="0"/>
          <c:order val="0"/>
          <c:tx>
            <c:v>Import of synthetic rubber</c:v>
          </c:tx>
          <c:spPr>
            <a:ln cmpd="sng" w="28575">
              <a:solidFill>
                <a:schemeClr val="accent6"/>
              </a:solidFill>
            </a:ln>
          </c:spPr>
          <c:marker>
            <c:symbol val="none"/>
          </c:marker>
          <c:cat>
            <c:strRef>
              <c:f>'UNCTAD$products'!$B$31:$G$31</c:f>
            </c:strRef>
          </c:cat>
          <c:val>
            <c:numRef>
              <c:f>'UNCTAD$products'!$B$32:$G$32</c:f>
              <c:numCache/>
            </c:numRef>
          </c:val>
          <c:smooth val="0"/>
        </c:ser>
        <c:ser>
          <c:idx val="1"/>
          <c:order val="1"/>
          <c:tx>
            <c:v>Export of synthetic rubber</c:v>
          </c:tx>
          <c:spPr>
            <a:ln cmpd="sng" w="28575">
              <a:solidFill>
                <a:schemeClr val="accent6"/>
              </a:solidFill>
            </a:ln>
          </c:spPr>
          <c:marker>
            <c:symbol val="none"/>
          </c:marker>
          <c:cat>
            <c:strRef>
              <c:f>'UNCTAD$products'!$B$31:$G$31</c:f>
            </c:strRef>
          </c:cat>
          <c:val>
            <c:numRef>
              <c:f>'UNCTAD$products'!$B$33:$G$33</c:f>
              <c:numCache/>
            </c:numRef>
          </c:val>
          <c:smooth val="0"/>
        </c:ser>
        <c:axId val="1865509363"/>
        <c:axId val="228731408"/>
      </c:lineChart>
      <c:catAx>
        <c:axId val="1865509363"/>
        <c:scaling>
          <c:orientation val="minMax"/>
        </c:scaling>
        <c:delete val="0"/>
        <c:axPos val="b"/>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none"/>
        <c:minorTickMark val="none"/>
        <c:spPr/>
        <c:txPr>
          <a:bodyPr/>
          <a:lstStyle/>
          <a:p>
            <a:pPr lvl="0">
              <a:defRPr b="0" i="0" sz="900">
                <a:solidFill>
                  <a:srgbClr val="1A1A1A"/>
                </a:solidFill>
                <a:latin typeface="+mn-lt"/>
              </a:defRPr>
            </a:pPr>
          </a:p>
        </c:txPr>
        <c:crossAx val="228731408"/>
      </c:catAx>
      <c:valAx>
        <c:axId val="228731408"/>
        <c:scaling>
          <c:orientation val="minMax"/>
          <c:max val="2000.0"/>
        </c:scaling>
        <c:delete val="0"/>
        <c:axPos val="l"/>
        <c:majorGridlines>
          <c:spPr>
            <a:ln>
              <a:solidFill>
                <a:srgbClr val="B7B7B7"/>
              </a:solidFill>
            </a:ln>
          </c:spPr>
        </c:majorGridlines>
        <c:title>
          <c:tx>
            <c:rich>
              <a:bodyPr/>
              <a:lstStyle/>
              <a:p>
                <a:pPr lvl="0">
                  <a:defRPr b="0" i="0" sz="1000">
                    <a:solidFill>
                      <a:srgbClr val="1A1A1A"/>
                    </a:solidFill>
                    <a:latin typeface="+mn-lt"/>
                  </a:defRPr>
                </a:pPr>
                <a:r>
                  <a:rPr b="0" i="0" sz="1000">
                    <a:solidFill>
                      <a:srgbClr val="1A1A1A"/>
                    </a:solidFill>
                    <a:latin typeface="+mn-lt"/>
                  </a:rPr>
                  <a:t>Value (million USD)</a:t>
                </a:r>
              </a:p>
            </c:rich>
          </c:tx>
          <c:overlay val="0"/>
        </c:title>
        <c:numFmt formatCode="General" sourceLinked="1"/>
        <c:majorTickMark val="none"/>
        <c:minorTickMark val="none"/>
        <c:tickLblPos val="nextTo"/>
        <c:spPr>
          <a:ln/>
        </c:spPr>
        <c:txPr>
          <a:bodyPr/>
          <a:lstStyle/>
          <a:p>
            <a:pPr lvl="0">
              <a:defRPr b="0" i="0" sz="900">
                <a:solidFill>
                  <a:srgbClr val="1A1A1A"/>
                </a:solidFill>
                <a:latin typeface="+mn-lt"/>
              </a:defRPr>
            </a:pPr>
          </a:p>
        </c:txPr>
        <c:crossAx val="1865509363"/>
      </c:valAx>
    </c:plotArea>
    <c:legend>
      <c:legendPos val="b"/>
      <c:overlay val="0"/>
      <c:txPr>
        <a:bodyPr/>
        <a:lstStyle/>
        <a:p>
          <a:pPr lvl="0">
            <a:defRPr b="0" i="0" sz="900">
              <a:solidFill>
                <a:srgbClr val="313131"/>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6652254305121731"/>
          <c:y val="0.06970872062044876"/>
          <c:w val="0.9138538733923671"/>
          <c:h val="0.7795518323367474"/>
        </c:manualLayout>
      </c:layout>
      <c:scatterChart>
        <c:scatterStyle val="lineMarker"/>
        <c:ser>
          <c:idx val="0"/>
          <c:order val="0"/>
          <c:tx>
            <c:v>Import of plastic packaging</c:v>
          </c:tx>
          <c:spPr>
            <a:ln>
              <a:noFill/>
            </a:ln>
          </c:spPr>
          <c:marker>
            <c:symbol val="circle"/>
            <c:size val="7"/>
            <c:spPr>
              <a:solidFill>
                <a:schemeClr val="accent1"/>
              </a:solidFill>
              <a:ln cmpd="sng">
                <a:solidFill>
                  <a:schemeClr val="accent1"/>
                </a:solidFill>
              </a:ln>
            </c:spPr>
          </c:marker>
          <c:xVal>
            <c:numRef>
              <c:f>'UNCTAD$products'!$B$36:$G$36</c:f>
            </c:numRef>
          </c:xVal>
          <c:yVal>
            <c:numRef>
              <c:f>'UNCTAD$products'!$B$37:$G$37</c:f>
              <c:numCache/>
            </c:numRef>
          </c:yVal>
        </c:ser>
        <c:ser>
          <c:idx val="1"/>
          <c:order val="1"/>
          <c:tx>
            <c:v>Export of plastic packaging</c:v>
          </c:tx>
          <c:spPr>
            <a:ln>
              <a:noFill/>
            </a:ln>
          </c:spPr>
          <c:marker>
            <c:symbol val="circle"/>
            <c:size val="7"/>
            <c:spPr>
              <a:solidFill>
                <a:schemeClr val="accent2"/>
              </a:solidFill>
              <a:ln cmpd="sng">
                <a:solidFill>
                  <a:schemeClr val="accent2"/>
                </a:solidFill>
              </a:ln>
            </c:spPr>
          </c:marker>
          <c:xVal>
            <c:numRef>
              <c:f>'UNCTAD$products'!$B$36:$G$36</c:f>
            </c:numRef>
          </c:xVal>
          <c:yVal>
            <c:numRef>
              <c:f>'UNCTAD$products'!$B$38:$G$38</c:f>
              <c:numCache/>
            </c:numRef>
          </c:yVal>
        </c:ser>
        <c:ser>
          <c:idx val="2"/>
          <c:order val="2"/>
          <c:tx>
            <c:v>Import of synthetic textiles</c:v>
          </c:tx>
          <c:spPr>
            <a:ln>
              <a:noFill/>
            </a:ln>
          </c:spPr>
          <c:marker>
            <c:symbol val="circle"/>
            <c:size val="7"/>
            <c:spPr>
              <a:solidFill>
                <a:schemeClr val="accent3"/>
              </a:solidFill>
              <a:ln cmpd="sng">
                <a:solidFill>
                  <a:schemeClr val="accent3"/>
                </a:solidFill>
              </a:ln>
            </c:spPr>
          </c:marker>
          <c:xVal>
            <c:numRef>
              <c:f>'UNCTAD$products'!$B$36:$G$36</c:f>
            </c:numRef>
          </c:xVal>
          <c:yVal>
            <c:numRef>
              <c:f>'UNCTAD$products'!$B$39:$G$39</c:f>
              <c:numCache/>
            </c:numRef>
          </c:yVal>
        </c:ser>
        <c:ser>
          <c:idx val="3"/>
          <c:order val="3"/>
          <c:tx>
            <c:v>Export of synthetic textiles</c:v>
          </c:tx>
          <c:spPr>
            <a:ln>
              <a:noFill/>
            </a:ln>
          </c:spPr>
          <c:marker>
            <c:symbol val="circle"/>
            <c:size val="7"/>
            <c:spPr>
              <a:solidFill>
                <a:schemeClr val="accent4"/>
              </a:solidFill>
              <a:ln cmpd="sng">
                <a:solidFill>
                  <a:schemeClr val="accent4"/>
                </a:solidFill>
              </a:ln>
            </c:spPr>
          </c:marker>
          <c:xVal>
            <c:numRef>
              <c:f>'UNCTAD$products'!$B$36:$G$36</c:f>
            </c:numRef>
          </c:xVal>
          <c:yVal>
            <c:numRef>
              <c:f>'UNCTAD$products'!$B$40:$G$40</c:f>
              <c:numCache/>
            </c:numRef>
          </c:yVal>
        </c:ser>
        <c:ser>
          <c:idx val="4"/>
          <c:order val="4"/>
          <c:tx>
            <c:v>Import of synthetic rubber</c:v>
          </c:tx>
          <c:spPr>
            <a:ln>
              <a:noFill/>
            </a:ln>
          </c:spPr>
          <c:marker>
            <c:symbol val="circle"/>
            <c:size val="7"/>
            <c:spPr>
              <a:solidFill>
                <a:schemeClr val="accent5"/>
              </a:solidFill>
              <a:ln cmpd="sng">
                <a:solidFill>
                  <a:schemeClr val="accent5"/>
                </a:solidFill>
              </a:ln>
            </c:spPr>
          </c:marker>
          <c:xVal>
            <c:numRef>
              <c:f>'UNCTAD$products'!$B$36:$G$36</c:f>
            </c:numRef>
          </c:xVal>
          <c:yVal>
            <c:numRef>
              <c:f>'UNCTAD$products'!$B$41:$G$41</c:f>
              <c:numCache/>
            </c:numRef>
          </c:yVal>
        </c:ser>
        <c:ser>
          <c:idx val="5"/>
          <c:order val="5"/>
          <c:tx>
            <c:v>Export of synthetic rubber</c:v>
          </c:tx>
          <c:spPr>
            <a:ln>
              <a:noFill/>
            </a:ln>
          </c:spPr>
          <c:marker>
            <c:symbol val="circle"/>
            <c:size val="7"/>
            <c:spPr>
              <a:solidFill>
                <a:schemeClr val="accent6"/>
              </a:solidFill>
              <a:ln cmpd="sng">
                <a:solidFill>
                  <a:schemeClr val="accent6"/>
                </a:solidFill>
              </a:ln>
            </c:spPr>
          </c:marker>
          <c:xVal>
            <c:numRef>
              <c:f>'UNCTAD$products'!$B$36:$G$36</c:f>
            </c:numRef>
          </c:xVal>
          <c:yVal>
            <c:numRef>
              <c:f>'UNCTAD$products'!$B$42:$G$42</c:f>
              <c:numCache/>
            </c:numRef>
          </c:yVal>
        </c:ser>
        <c:dLbls>
          <c:showLegendKey val="0"/>
          <c:showVal val="0"/>
          <c:showCatName val="0"/>
          <c:showSerName val="0"/>
          <c:showPercent val="0"/>
          <c:showBubbleSize val="0"/>
        </c:dLbls>
        <c:axId val="769557229"/>
        <c:axId val="481819535"/>
      </c:scatterChart>
      <c:valAx>
        <c:axId val="769557229"/>
        <c:scaling>
          <c:orientation val="minMax"/>
          <c:max val="2022.0"/>
        </c:scaling>
        <c:delete val="0"/>
        <c:axPos val="b"/>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1A1A1A"/>
                </a:solidFill>
                <a:latin typeface="+mn-lt"/>
              </a:defRPr>
            </a:pPr>
          </a:p>
        </c:txPr>
        <c:crossAx val="481819535"/>
      </c:valAx>
      <c:valAx>
        <c:axId val="481819535"/>
        <c:scaling>
          <c:orientation val="minMax"/>
        </c:scaling>
        <c:delete val="0"/>
        <c:axPos val="l"/>
        <c:majorGridlines>
          <c:spPr>
            <a:ln>
              <a:solidFill>
                <a:srgbClr val="B7B7B7"/>
              </a:solidFill>
            </a:ln>
          </c:spPr>
        </c:majorGridlines>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1A1A1A"/>
                </a:solidFill>
                <a:latin typeface="+mn-lt"/>
              </a:defRPr>
            </a:pPr>
          </a:p>
        </c:txPr>
        <c:crossAx val="769557229"/>
      </c:valAx>
    </c:plotArea>
    <c:legend>
      <c:legendPos val="b"/>
      <c:overlay val="0"/>
      <c:txPr>
        <a:bodyPr/>
        <a:lstStyle/>
        <a:p>
          <a:pPr lvl="0">
            <a:defRPr b="0" i="0" sz="900">
              <a:solidFill>
                <a:srgbClr val="313131"/>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38383"/>
                </a:solidFill>
                <a:latin typeface="+mn-lt"/>
              </a:defRPr>
            </a:pPr>
            <a:r>
              <a:rPr b="0">
                <a:solidFill>
                  <a:srgbClr val="838383"/>
                </a:solidFill>
                <a:latin typeface="+mn-lt"/>
              </a:rPr>
              <a:t>Import Value (million USD)</a:t>
            </a:r>
          </a:p>
        </c:rich>
      </c:tx>
      <c:overlay val="0"/>
    </c:title>
    <c:plotArea>
      <c:layout/>
      <c:pieChart>
        <c:varyColors val="1"/>
        <c:ser>
          <c:idx val="0"/>
          <c:order val="0"/>
          <c:tx>
            <c:strRef>
              <c:f>WTO_pie!$B$2</c:f>
            </c:strRef>
          </c:tx>
          <c:dPt>
            <c:idx val="0"/>
            <c:spPr>
              <a:solidFill>
                <a:srgbClr val="1A9988"/>
              </a:solidFill>
            </c:spPr>
          </c:dPt>
          <c:dPt>
            <c:idx val="1"/>
            <c:spPr>
              <a:solidFill>
                <a:srgbClr val="2D729D"/>
              </a:solidFill>
            </c:spPr>
          </c:dPt>
          <c:dPt>
            <c:idx val="2"/>
            <c:spPr>
              <a:solidFill>
                <a:srgbClr val="1F3E78"/>
              </a:solidFill>
            </c:spPr>
          </c:dPt>
          <c:dLbls>
            <c:showLegendKey val="0"/>
            <c:showVal val="0"/>
            <c:showCatName val="0"/>
            <c:showSerName val="0"/>
            <c:showPercent val="0"/>
            <c:showBubbleSize val="0"/>
            <c:showLeaderLines val="1"/>
          </c:dLbls>
          <c:cat>
            <c:strRef>
              <c:f>WTO_pie!$A$3:$A$5</c:f>
            </c:strRef>
          </c:cat>
          <c:val>
            <c:numRef>
              <c:f>WTO_pie!$B$3:$B$5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313131"/>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38383"/>
                </a:solidFill>
                <a:latin typeface="+mn-lt"/>
              </a:defRPr>
            </a:pPr>
            <a:r>
              <a:rPr b="0">
                <a:solidFill>
                  <a:srgbClr val="838383"/>
                </a:solidFill>
                <a:latin typeface="+mn-lt"/>
              </a:rPr>
              <a:t>Export Value (million USD)</a:t>
            </a:r>
          </a:p>
        </c:rich>
      </c:tx>
      <c:overlay val="0"/>
    </c:title>
    <c:plotArea>
      <c:layout/>
      <c:pieChart>
        <c:varyColors val="1"/>
        <c:ser>
          <c:idx val="0"/>
          <c:order val="0"/>
          <c:tx>
            <c:strRef>
              <c:f>WTO_pie!$B$8</c:f>
            </c:strRef>
          </c:tx>
          <c:dPt>
            <c:idx val="0"/>
            <c:spPr>
              <a:solidFill>
                <a:srgbClr val="1A9988"/>
              </a:solidFill>
            </c:spPr>
          </c:dPt>
          <c:dPt>
            <c:idx val="1"/>
            <c:spPr>
              <a:solidFill>
                <a:srgbClr val="2D729D"/>
              </a:solidFill>
            </c:spPr>
          </c:dPt>
          <c:dPt>
            <c:idx val="2"/>
            <c:spPr>
              <a:solidFill>
                <a:srgbClr val="1F3E78"/>
              </a:solidFill>
            </c:spPr>
          </c:dPt>
          <c:dLbls>
            <c:showLegendKey val="0"/>
            <c:showVal val="0"/>
            <c:showCatName val="0"/>
            <c:showSerName val="0"/>
            <c:showPercent val="0"/>
            <c:showBubbleSize val="0"/>
            <c:showLeaderLines val="1"/>
          </c:dLbls>
          <c:cat>
            <c:strRef>
              <c:f>WTO_pie!$A$9:$A$11</c:f>
            </c:strRef>
          </c:cat>
          <c:val>
            <c:numRef>
              <c:f>WTO_pie!$B$9:$B$11</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313131"/>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Relationship Id="rId5"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2133600</xdr:colOff>
      <xdr:row>16</xdr:row>
      <xdr:rowOff>123825</xdr:rowOff>
    </xdr:from>
    <xdr:ext cx="5715000" cy="3533775"/>
    <xdr:graphicFrame>
      <xdr:nvGraphicFramePr>
        <xdr:cNvPr id="1230612916"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514350</xdr:colOff>
      <xdr:row>14</xdr:row>
      <xdr:rowOff>190500</xdr:rowOff>
    </xdr:from>
    <xdr:ext cx="5715000" cy="3533775"/>
    <xdr:graphicFrame>
      <xdr:nvGraphicFramePr>
        <xdr:cNvPr id="23505820"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361950</xdr:colOff>
      <xdr:row>0</xdr:row>
      <xdr:rowOff>180975</xdr:rowOff>
    </xdr:from>
    <xdr:ext cx="5962650" cy="3171825"/>
    <xdr:graphicFrame>
      <xdr:nvGraphicFramePr>
        <xdr:cNvPr id="970337229"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15</xdr:col>
      <xdr:colOff>895350</xdr:colOff>
      <xdr:row>33</xdr:row>
      <xdr:rowOff>161925</xdr:rowOff>
    </xdr:from>
    <xdr:ext cx="6315075" cy="3286125"/>
    <xdr:graphicFrame>
      <xdr:nvGraphicFramePr>
        <xdr:cNvPr id="1863918088"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361950</xdr:colOff>
      <xdr:row>0</xdr:row>
      <xdr:rowOff>180975</xdr:rowOff>
    </xdr:from>
    <xdr:ext cx="5048250" cy="2695575"/>
    <xdr:graphicFrame>
      <xdr:nvGraphicFramePr>
        <xdr:cNvPr id="664521810" name="Chart 5"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15</xdr:col>
      <xdr:colOff>895350</xdr:colOff>
      <xdr:row>19</xdr:row>
      <xdr:rowOff>0</xdr:rowOff>
    </xdr:from>
    <xdr:ext cx="4962525" cy="2705100"/>
    <xdr:graphicFrame>
      <xdr:nvGraphicFramePr>
        <xdr:cNvPr id="1880761905" name="Chart 6"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7</xdr:col>
      <xdr:colOff>171450</xdr:colOff>
      <xdr:row>21</xdr:row>
      <xdr:rowOff>38100</xdr:rowOff>
    </xdr:from>
    <xdr:ext cx="7381875" cy="6648450"/>
    <xdr:graphicFrame>
      <xdr:nvGraphicFramePr>
        <xdr:cNvPr id="1268249592" name="Chart 7"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323850</xdr:colOff>
      <xdr:row>0</xdr:row>
      <xdr:rowOff>133350</xdr:rowOff>
    </xdr:from>
    <xdr:ext cx="5715000" cy="3533775"/>
    <xdr:graphicFrame>
      <xdr:nvGraphicFramePr>
        <xdr:cNvPr id="161514669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152400</xdr:colOff>
      <xdr:row>18</xdr:row>
      <xdr:rowOff>133350</xdr:rowOff>
    </xdr:from>
    <xdr:ext cx="5715000" cy="3533775"/>
    <xdr:graphicFrame>
      <xdr:nvGraphicFramePr>
        <xdr:cNvPr id="1700179314" name="Chart 9"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9.18" defaultRowHeight="15.0"/>
  <cols>
    <col customWidth="1" min="1" max="1" width="32.27"/>
    <col customWidth="1" min="2" max="26" width="8.64"/>
  </cols>
  <sheetData>
    <row r="1" ht="15.75" customHeight="1">
      <c r="A1" s="1" t="s">
        <v>0</v>
      </c>
      <c r="B1" s="1">
        <v>2017.0</v>
      </c>
      <c r="C1" s="1">
        <v>2018.0</v>
      </c>
      <c r="D1" s="1">
        <v>2019.0</v>
      </c>
      <c r="E1" s="1">
        <v>2020.0</v>
      </c>
      <c r="F1" s="1">
        <v>2021.0</v>
      </c>
      <c r="G1" s="1">
        <v>2022.0</v>
      </c>
      <c r="H1" s="1">
        <v>2023.0</v>
      </c>
    </row>
    <row r="2" ht="15.75" customHeight="1">
      <c r="A2" s="2" t="s">
        <v>1</v>
      </c>
      <c r="B2" s="3">
        <v>135458.0</v>
      </c>
      <c r="C2" s="3">
        <v>185659.0</v>
      </c>
      <c r="D2" s="3">
        <v>267177.0</v>
      </c>
      <c r="E2" s="3">
        <v>284698.0</v>
      </c>
      <c r="F2" s="3">
        <v>472607.0</v>
      </c>
      <c r="G2" s="3">
        <v>578351.0</v>
      </c>
      <c r="H2" s="3">
        <v>448207.0</v>
      </c>
    </row>
    <row r="3" ht="15.75" customHeight="1">
      <c r="A3" s="2" t="s">
        <v>2</v>
      </c>
      <c r="B3" s="3">
        <v>23979.0</v>
      </c>
      <c r="C3" s="3">
        <v>21921.0</v>
      </c>
      <c r="D3" s="3">
        <v>5318.0</v>
      </c>
      <c r="E3" s="3">
        <v>1702.0</v>
      </c>
      <c r="F3" s="3">
        <v>5775.0</v>
      </c>
      <c r="G3" s="3">
        <v>8278.0</v>
      </c>
      <c r="H3" s="3">
        <v>11152.0</v>
      </c>
    </row>
    <row r="4" ht="15.75" customHeight="1">
      <c r="A4" s="2" t="s">
        <v>3</v>
      </c>
      <c r="B4" s="3">
        <v>167224.0</v>
      </c>
      <c r="C4" s="3">
        <v>199587.0</v>
      </c>
      <c r="D4" s="3">
        <v>259357.0</v>
      </c>
      <c r="E4" s="3">
        <v>318409.0</v>
      </c>
      <c r="F4" s="3">
        <v>412688.0</v>
      </c>
      <c r="G4" s="3">
        <v>461781.0</v>
      </c>
      <c r="H4" s="3">
        <v>464355.0</v>
      </c>
    </row>
    <row r="5" ht="15.75" customHeight="1">
      <c r="A5" s="2" t="s">
        <v>4</v>
      </c>
      <c r="B5" s="3">
        <v>2310.0</v>
      </c>
      <c r="C5" s="3">
        <v>2636.0</v>
      </c>
      <c r="D5" s="3">
        <v>5989.0</v>
      </c>
      <c r="E5" s="3">
        <v>4330.0</v>
      </c>
      <c r="F5" s="3">
        <v>10988.0</v>
      </c>
      <c r="G5" s="3">
        <v>8621.0</v>
      </c>
      <c r="H5" s="3">
        <v>9109.0</v>
      </c>
    </row>
    <row r="6" ht="15.75" customHeight="1">
      <c r="A6" s="2" t="s">
        <v>5</v>
      </c>
      <c r="B6" s="3">
        <v>1202277.0</v>
      </c>
      <c r="C6" s="3">
        <v>1302180.0</v>
      </c>
      <c r="D6" s="3">
        <v>1344698.0</v>
      </c>
      <c r="E6" s="3">
        <v>1318333.0</v>
      </c>
      <c r="F6" s="3">
        <v>1594762.0</v>
      </c>
      <c r="G6" s="3">
        <v>1683864.0</v>
      </c>
      <c r="H6" s="3">
        <v>1547640.0</v>
      </c>
    </row>
    <row r="7" ht="15.75" customHeight="1">
      <c r="A7" s="2" t="s">
        <v>6</v>
      </c>
      <c r="B7" s="3">
        <v>8200.0</v>
      </c>
      <c r="C7" s="3">
        <v>11464.0</v>
      </c>
      <c r="D7" s="3">
        <v>11869.0</v>
      </c>
      <c r="E7" s="3">
        <v>16004.0</v>
      </c>
      <c r="F7" s="3">
        <v>15217.0</v>
      </c>
      <c r="G7" s="3">
        <v>10033.0</v>
      </c>
      <c r="H7" s="3">
        <v>12823.0</v>
      </c>
    </row>
    <row r="8" ht="15.75" customHeight="1">
      <c r="A8" s="2" t="s">
        <v>7</v>
      </c>
      <c r="B8" s="3">
        <v>389237.0</v>
      </c>
      <c r="C8" s="3">
        <v>445808.0</v>
      </c>
      <c r="D8" s="3">
        <v>503592.0</v>
      </c>
      <c r="E8" s="3">
        <v>498585.0</v>
      </c>
      <c r="F8" s="3">
        <v>620538.0</v>
      </c>
      <c r="G8" s="3">
        <v>618922.0</v>
      </c>
      <c r="H8" s="3">
        <v>572717.0</v>
      </c>
    </row>
    <row r="9" ht="15.75" customHeight="1">
      <c r="A9" s="2" t="s">
        <v>8</v>
      </c>
      <c r="B9" s="3">
        <v>336234.0</v>
      </c>
      <c r="C9" s="3">
        <v>553234.0</v>
      </c>
      <c r="D9" s="3">
        <v>1145853.0</v>
      </c>
      <c r="E9" s="3">
        <v>1382758.0</v>
      </c>
      <c r="F9" s="3">
        <v>1706683.0</v>
      </c>
      <c r="G9" s="3">
        <v>2166656.0</v>
      </c>
      <c r="H9" s="3">
        <v>2165608.0</v>
      </c>
    </row>
    <row r="10" ht="15.75" customHeight="1">
      <c r="A10" s="2" t="s">
        <v>9</v>
      </c>
      <c r="B10" s="3">
        <v>330.0</v>
      </c>
      <c r="C10" s="3">
        <v>257.0</v>
      </c>
      <c r="D10" s="3">
        <v>30.0</v>
      </c>
      <c r="E10" s="3">
        <v>8.0</v>
      </c>
      <c r="F10" s="3">
        <v>103.0</v>
      </c>
      <c r="G10" s="3">
        <v>99.0</v>
      </c>
      <c r="H10" s="3">
        <v>400.0</v>
      </c>
    </row>
    <row r="11" ht="15.75" customHeight="1">
      <c r="A11" s="2" t="s">
        <v>10</v>
      </c>
      <c r="B11" s="3">
        <v>4258.0</v>
      </c>
      <c r="C11" s="3">
        <v>1890.0</v>
      </c>
      <c r="D11" s="3">
        <v>2342.0</v>
      </c>
      <c r="E11" s="3">
        <v>1589.0</v>
      </c>
      <c r="F11" s="3">
        <v>2025.0</v>
      </c>
      <c r="G11" s="3">
        <v>1305.0</v>
      </c>
      <c r="H11" s="3">
        <v>733.0</v>
      </c>
    </row>
    <row r="12" ht="15.75" customHeight="1">
      <c r="A12" s="2" t="s">
        <v>11</v>
      </c>
      <c r="B12" s="4">
        <v>1894526.0</v>
      </c>
      <c r="C12" s="4">
        <v>2133491.0</v>
      </c>
      <c r="D12" s="4">
        <v>2374853.0</v>
      </c>
      <c r="E12" s="4">
        <v>2420034.0</v>
      </c>
      <c r="F12" s="4">
        <v>3100698.0</v>
      </c>
      <c r="G12" s="4">
        <v>3343016.0</v>
      </c>
      <c r="H12" s="4">
        <v>3033319.0</v>
      </c>
    </row>
    <row r="13" ht="15.75" customHeight="1">
      <c r="A13" s="2" t="s">
        <v>12</v>
      </c>
      <c r="B13" s="3">
        <v>374982.0</v>
      </c>
      <c r="C13" s="3">
        <v>591145.0</v>
      </c>
      <c r="D13" s="3">
        <v>1171371.0</v>
      </c>
      <c r="E13" s="3">
        <v>1406382.0</v>
      </c>
      <c r="F13" s="3">
        <v>1740688.0</v>
      </c>
      <c r="G13" s="3">
        <v>2194893.0</v>
      </c>
      <c r="H13" s="3">
        <v>2199425.0</v>
      </c>
    </row>
    <row r="14" ht="15.75" customHeight="1">
      <c r="A14" s="2" t="s">
        <v>13</v>
      </c>
      <c r="B14" s="4">
        <f t="shared" ref="B14:H14" si="1">(B12-B13)</f>
        <v>1519544</v>
      </c>
      <c r="C14" s="4">
        <f t="shared" si="1"/>
        <v>1542346</v>
      </c>
      <c r="D14" s="4">
        <f t="shared" si="1"/>
        <v>1203482</v>
      </c>
      <c r="E14" s="4">
        <f t="shared" si="1"/>
        <v>1013652</v>
      </c>
      <c r="F14" s="4">
        <f t="shared" si="1"/>
        <v>1360010</v>
      </c>
      <c r="G14" s="4">
        <f t="shared" si="1"/>
        <v>1148123</v>
      </c>
      <c r="H14" s="4">
        <f t="shared" si="1"/>
        <v>833894</v>
      </c>
    </row>
    <row r="15" ht="15.75" customHeight="1"/>
    <row r="16" ht="15.75" customHeight="1"/>
    <row r="17" ht="15.75" customHeight="1">
      <c r="A17" s="1" t="s">
        <v>0</v>
      </c>
      <c r="B17" s="1">
        <v>2017.0</v>
      </c>
      <c r="C17" s="1">
        <v>2018.0</v>
      </c>
      <c r="D17" s="1">
        <v>2019.0</v>
      </c>
      <c r="E17" s="1">
        <v>2020.0</v>
      </c>
      <c r="F17" s="1">
        <v>2021.0</v>
      </c>
      <c r="G17" s="1">
        <v>2022.0</v>
      </c>
      <c r="H17" s="1">
        <v>2023.0</v>
      </c>
    </row>
    <row r="18" ht="15.75" customHeight="1">
      <c r="A18" s="5" t="s">
        <v>14</v>
      </c>
      <c r="B18" s="4">
        <f t="shared" ref="B18:H18" si="2">(B14/1000)</f>
        <v>1519.544</v>
      </c>
      <c r="C18" s="4">
        <f t="shared" si="2"/>
        <v>1542.346</v>
      </c>
      <c r="D18" s="4">
        <f t="shared" si="2"/>
        <v>1203.482</v>
      </c>
      <c r="E18" s="4">
        <f t="shared" si="2"/>
        <v>1013.652</v>
      </c>
      <c r="F18" s="4">
        <f t="shared" si="2"/>
        <v>1360.01</v>
      </c>
      <c r="G18" s="4">
        <f t="shared" si="2"/>
        <v>1148.123</v>
      </c>
      <c r="H18" s="4">
        <f t="shared" si="2"/>
        <v>833.894</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9.18" defaultRowHeight="15.0"/>
  <cols>
    <col customWidth="1" min="1" max="1" width="29.73"/>
    <col customWidth="1" min="2" max="2" width="18.64"/>
    <col customWidth="1" min="3" max="12" width="8.64"/>
    <col customWidth="1" min="13" max="13" width="16.73"/>
    <col customWidth="1" min="14" max="26" width="8.64"/>
  </cols>
  <sheetData>
    <row r="1" ht="15.75" customHeight="1">
      <c r="A1" s="1" t="s">
        <v>0</v>
      </c>
      <c r="B1" s="1" t="s">
        <v>15</v>
      </c>
      <c r="C1" s="1">
        <v>2017.0</v>
      </c>
      <c r="D1" s="1">
        <v>2018.0</v>
      </c>
      <c r="E1" s="1">
        <v>2019.0</v>
      </c>
      <c r="F1" s="1">
        <v>2020.0</v>
      </c>
      <c r="G1" s="1">
        <v>2021.0</v>
      </c>
      <c r="H1" s="1">
        <v>2022.0</v>
      </c>
      <c r="I1" s="1">
        <v>2023.0</v>
      </c>
    </row>
    <row r="2" ht="15.75" customHeight="1">
      <c r="A2" s="2" t="s">
        <v>1</v>
      </c>
      <c r="B2" s="2" t="s">
        <v>16</v>
      </c>
    </row>
    <row r="3" ht="15.75" customHeight="1">
      <c r="A3" s="2" t="s">
        <v>2</v>
      </c>
      <c r="B3" s="2" t="s">
        <v>16</v>
      </c>
    </row>
    <row r="4" ht="15.75" customHeight="1">
      <c r="A4" s="2" t="s">
        <v>3</v>
      </c>
      <c r="B4" s="2" t="s">
        <v>16</v>
      </c>
    </row>
    <row r="5" ht="15.75" customHeight="1">
      <c r="A5" s="2" t="s">
        <v>4</v>
      </c>
      <c r="B5" s="2" t="s">
        <v>16</v>
      </c>
    </row>
    <row r="6" ht="15.75" customHeight="1">
      <c r="A6" s="2" t="s">
        <v>5</v>
      </c>
      <c r="B6" s="2" t="s">
        <v>16</v>
      </c>
      <c r="N6" s="2" t="s">
        <v>16</v>
      </c>
      <c r="O6" s="2" t="s">
        <v>17</v>
      </c>
      <c r="P6" s="2" t="s">
        <v>18</v>
      </c>
      <c r="Q6" s="2" t="s">
        <v>19</v>
      </c>
      <c r="R6" s="2" t="s">
        <v>20</v>
      </c>
    </row>
    <row r="7" ht="15.75" customHeight="1">
      <c r="A7" s="2" t="s">
        <v>6</v>
      </c>
      <c r="B7" s="2" t="s">
        <v>16</v>
      </c>
      <c r="M7" s="2" t="s">
        <v>11</v>
      </c>
      <c r="N7" s="4">
        <v>940.0</v>
      </c>
      <c r="O7" s="3">
        <v>12808.0</v>
      </c>
      <c r="P7" s="3">
        <v>3296451.0</v>
      </c>
      <c r="Q7" s="3">
        <v>32363.0</v>
      </c>
      <c r="R7" s="3">
        <v>455.0</v>
      </c>
    </row>
    <row r="8" ht="15.75" customHeight="1">
      <c r="A8" s="2" t="s">
        <v>7</v>
      </c>
      <c r="B8" s="2" t="s">
        <v>16</v>
      </c>
      <c r="M8" s="2" t="s">
        <v>12</v>
      </c>
      <c r="N8" s="4">
        <v>6403.0</v>
      </c>
      <c r="O8" s="3">
        <v>1149377.0</v>
      </c>
      <c r="P8" s="3">
        <v>336813.0</v>
      </c>
      <c r="Q8" s="3">
        <v>680232.0</v>
      </c>
      <c r="R8" s="3">
        <v>22069.0</v>
      </c>
    </row>
    <row r="9" ht="15.75" customHeight="1">
      <c r="A9" s="2" t="s">
        <v>8</v>
      </c>
      <c r="B9" s="2" t="s">
        <v>16</v>
      </c>
    </row>
    <row r="10" ht="15.75" customHeight="1">
      <c r="A10" s="2" t="s">
        <v>9</v>
      </c>
      <c r="B10" s="2" t="s">
        <v>16</v>
      </c>
      <c r="N10" s="2" t="s">
        <v>16</v>
      </c>
      <c r="O10" s="2" t="s">
        <v>17</v>
      </c>
      <c r="P10" s="2" t="s">
        <v>18</v>
      </c>
      <c r="Q10" s="2" t="s">
        <v>19</v>
      </c>
      <c r="R10" s="2" t="s">
        <v>20</v>
      </c>
    </row>
    <row r="11" ht="15.75" customHeight="1">
      <c r="A11" s="2" t="s">
        <v>10</v>
      </c>
      <c r="B11" s="2" t="s">
        <v>16</v>
      </c>
      <c r="M11" s="2" t="s">
        <v>11</v>
      </c>
      <c r="N11" s="4">
        <f t="shared" ref="N11:R11" si="1">(N7/1000)</f>
        <v>0.94</v>
      </c>
      <c r="O11" s="4">
        <f t="shared" si="1"/>
        <v>12.808</v>
      </c>
      <c r="P11" s="4">
        <f t="shared" si="1"/>
        <v>3296.451</v>
      </c>
      <c r="Q11" s="4">
        <f t="shared" si="1"/>
        <v>32.363</v>
      </c>
      <c r="R11" s="4">
        <f t="shared" si="1"/>
        <v>0.455</v>
      </c>
    </row>
    <row r="12" ht="15.75" customHeight="1">
      <c r="A12" s="2" t="s">
        <v>11</v>
      </c>
      <c r="B12" s="2" t="s">
        <v>16</v>
      </c>
      <c r="C12" s="4">
        <v>2160.0</v>
      </c>
      <c r="D12" s="4">
        <v>1224.0</v>
      </c>
      <c r="E12" s="4">
        <v>2272.0</v>
      </c>
      <c r="F12" s="4">
        <v>1215.0</v>
      </c>
      <c r="G12" s="4">
        <v>546.0</v>
      </c>
      <c r="H12" s="4">
        <v>940.0</v>
      </c>
      <c r="I12" s="4">
        <v>778.0</v>
      </c>
      <c r="M12" s="2" t="s">
        <v>12</v>
      </c>
      <c r="N12" s="4">
        <f t="shared" ref="N12:R12" si="2">(N8/1000)</f>
        <v>6.403</v>
      </c>
      <c r="O12" s="4">
        <f t="shared" si="2"/>
        <v>1149.377</v>
      </c>
      <c r="P12" s="4">
        <f t="shared" si="2"/>
        <v>336.813</v>
      </c>
      <c r="Q12" s="4">
        <f t="shared" si="2"/>
        <v>680.232</v>
      </c>
      <c r="R12" s="4">
        <f t="shared" si="2"/>
        <v>22.069</v>
      </c>
    </row>
    <row r="13" ht="15.75" customHeight="1">
      <c r="A13" s="2" t="s">
        <v>12</v>
      </c>
      <c r="B13" s="2" t="s">
        <v>16</v>
      </c>
      <c r="C13" s="4">
        <v>2453.0</v>
      </c>
      <c r="D13" s="4">
        <v>2841.0</v>
      </c>
      <c r="E13" s="4">
        <v>5515.0</v>
      </c>
      <c r="F13" s="4">
        <v>3695.0</v>
      </c>
      <c r="G13" s="4">
        <v>7067.0</v>
      </c>
      <c r="H13" s="4">
        <v>6403.0</v>
      </c>
      <c r="I13" s="4">
        <v>6173.0</v>
      </c>
    </row>
    <row r="14" ht="15.75" customHeight="1">
      <c r="A14" s="2" t="s">
        <v>13</v>
      </c>
      <c r="B14" s="2" t="s">
        <v>16</v>
      </c>
      <c r="C14" s="4">
        <f t="shared" ref="C14:I14" si="3">(C12-C13)</f>
        <v>-293</v>
      </c>
      <c r="D14" s="4">
        <f t="shared" si="3"/>
        <v>-1617</v>
      </c>
      <c r="E14" s="4">
        <f t="shared" si="3"/>
        <v>-3243</v>
      </c>
      <c r="F14" s="4">
        <f t="shared" si="3"/>
        <v>-2480</v>
      </c>
      <c r="G14" s="4">
        <f t="shared" si="3"/>
        <v>-6521</v>
      </c>
      <c r="H14" s="4">
        <f t="shared" si="3"/>
        <v>-5463</v>
      </c>
      <c r="I14" s="4">
        <f t="shared" si="3"/>
        <v>-5395</v>
      </c>
    </row>
    <row r="15" ht="15.75" customHeight="1">
      <c r="A15" s="2" t="s">
        <v>1</v>
      </c>
      <c r="B15" s="2" t="s">
        <v>17</v>
      </c>
    </row>
    <row r="16" ht="15.75" customHeight="1">
      <c r="A16" s="2" t="s">
        <v>2</v>
      </c>
      <c r="B16" s="2" t="s">
        <v>17</v>
      </c>
    </row>
    <row r="17" ht="15.75" customHeight="1">
      <c r="A17" s="2" t="s">
        <v>3</v>
      </c>
      <c r="B17" s="2" t="s">
        <v>17</v>
      </c>
    </row>
    <row r="18" ht="15.75" customHeight="1">
      <c r="A18" s="2" t="s">
        <v>4</v>
      </c>
      <c r="B18" s="2" t="s">
        <v>17</v>
      </c>
    </row>
    <row r="19" ht="15.75" customHeight="1">
      <c r="A19" s="2" t="s">
        <v>5</v>
      </c>
      <c r="B19" s="2" t="s">
        <v>17</v>
      </c>
    </row>
    <row r="20" ht="15.75" customHeight="1">
      <c r="A20" s="2" t="s">
        <v>6</v>
      </c>
      <c r="B20" s="2" t="s">
        <v>17</v>
      </c>
    </row>
    <row r="21" ht="15.75" customHeight="1">
      <c r="A21" s="2" t="s">
        <v>7</v>
      </c>
      <c r="B21" s="2" t="s">
        <v>17</v>
      </c>
    </row>
    <row r="22" ht="15.75" customHeight="1">
      <c r="A22" s="2" t="s">
        <v>8</v>
      </c>
      <c r="B22" s="2" t="s">
        <v>17</v>
      </c>
    </row>
    <row r="23" ht="15.75" customHeight="1">
      <c r="A23" s="2" t="s">
        <v>9</v>
      </c>
      <c r="B23" s="2" t="s">
        <v>17</v>
      </c>
    </row>
    <row r="24" ht="15.75" customHeight="1">
      <c r="A24" s="2" t="s">
        <v>10</v>
      </c>
      <c r="B24" s="2" t="s">
        <v>17</v>
      </c>
    </row>
    <row r="25" ht="15.75" customHeight="1">
      <c r="A25" s="2" t="s">
        <v>11</v>
      </c>
      <c r="B25" s="2" t="s">
        <v>17</v>
      </c>
      <c r="C25" s="3">
        <v>8949.0</v>
      </c>
      <c r="D25" s="3">
        <v>13343.0</v>
      </c>
      <c r="E25" s="3">
        <v>19249.0</v>
      </c>
      <c r="F25" s="3">
        <v>16879.0</v>
      </c>
      <c r="G25" s="3">
        <v>11845.0</v>
      </c>
      <c r="H25" s="3">
        <v>12808.0</v>
      </c>
      <c r="I25" s="3">
        <v>20099.0</v>
      </c>
    </row>
    <row r="26" ht="15.75" customHeight="1">
      <c r="A26" s="2" t="s">
        <v>12</v>
      </c>
      <c r="B26" s="2" t="s">
        <v>17</v>
      </c>
      <c r="C26" s="3">
        <v>165571.0</v>
      </c>
      <c r="D26" s="3">
        <v>250736.0</v>
      </c>
      <c r="E26" s="3">
        <v>443651.0</v>
      </c>
      <c r="F26" s="3">
        <v>645978.0</v>
      </c>
      <c r="G26" s="3">
        <v>873317.0</v>
      </c>
      <c r="H26" s="3">
        <v>1149377.0</v>
      </c>
      <c r="I26" s="3">
        <v>1240988.0</v>
      </c>
    </row>
    <row r="27" ht="15.75" customHeight="1">
      <c r="A27" s="2" t="s">
        <v>13</v>
      </c>
      <c r="B27" s="2" t="s">
        <v>17</v>
      </c>
      <c r="C27" s="4">
        <f t="shared" ref="C27:I27" si="4">(C25-C26)</f>
        <v>-156622</v>
      </c>
      <c r="D27" s="4">
        <f t="shared" si="4"/>
        <v>-237393</v>
      </c>
      <c r="E27" s="4">
        <f t="shared" si="4"/>
        <v>-424402</v>
      </c>
      <c r="F27" s="4">
        <f t="shared" si="4"/>
        <v>-629099</v>
      </c>
      <c r="G27" s="4">
        <f t="shared" si="4"/>
        <v>-861472</v>
      </c>
      <c r="H27" s="4">
        <f t="shared" si="4"/>
        <v>-1136569</v>
      </c>
      <c r="I27" s="4">
        <f t="shared" si="4"/>
        <v>-1220889</v>
      </c>
    </row>
    <row r="28" ht="15.75" customHeight="1">
      <c r="A28" s="2" t="s">
        <v>1</v>
      </c>
      <c r="B28" s="2" t="s">
        <v>18</v>
      </c>
    </row>
    <row r="29" ht="15.75" customHeight="1">
      <c r="A29" s="2" t="s">
        <v>2</v>
      </c>
      <c r="B29" s="2" t="s">
        <v>18</v>
      </c>
    </row>
    <row r="30" ht="15.75" customHeight="1">
      <c r="A30" s="2" t="s">
        <v>3</v>
      </c>
      <c r="B30" s="2" t="s">
        <v>18</v>
      </c>
    </row>
    <row r="31" ht="15.75" customHeight="1">
      <c r="A31" s="2" t="s">
        <v>4</v>
      </c>
      <c r="B31" s="2" t="s">
        <v>18</v>
      </c>
    </row>
    <row r="32" ht="15.75" customHeight="1">
      <c r="A32" s="2" t="s">
        <v>5</v>
      </c>
      <c r="B32" s="2" t="s">
        <v>18</v>
      </c>
    </row>
    <row r="33" ht="15.75" customHeight="1">
      <c r="A33" s="2" t="s">
        <v>6</v>
      </c>
      <c r="B33" s="2" t="s">
        <v>18</v>
      </c>
    </row>
    <row r="34" ht="15.75" customHeight="1">
      <c r="A34" s="2" t="s">
        <v>7</v>
      </c>
      <c r="B34" s="2" t="s">
        <v>18</v>
      </c>
    </row>
    <row r="35" ht="15.75" customHeight="1">
      <c r="A35" s="2" t="s">
        <v>8</v>
      </c>
      <c r="B35" s="2" t="s">
        <v>18</v>
      </c>
    </row>
    <row r="36" ht="15.75" customHeight="1">
      <c r="A36" s="2" t="s">
        <v>9</v>
      </c>
      <c r="B36" s="2" t="s">
        <v>18</v>
      </c>
    </row>
    <row r="37" ht="15.75" customHeight="1">
      <c r="A37" s="2" t="s">
        <v>10</v>
      </c>
      <c r="B37" s="2" t="s">
        <v>18</v>
      </c>
    </row>
    <row r="38" ht="15.75" customHeight="1">
      <c r="A38" s="2" t="s">
        <v>11</v>
      </c>
      <c r="B38" s="2" t="s">
        <v>18</v>
      </c>
      <c r="C38" s="3">
        <v>1850268.0</v>
      </c>
      <c r="D38" s="3">
        <v>2083613.0</v>
      </c>
      <c r="E38" s="3">
        <v>2316072.0</v>
      </c>
      <c r="F38" s="3">
        <v>2362135.0</v>
      </c>
      <c r="G38" s="3">
        <v>3053194.0</v>
      </c>
      <c r="H38" s="3">
        <v>3296451.0</v>
      </c>
      <c r="I38" s="3">
        <v>2977255.0</v>
      </c>
    </row>
    <row r="39" ht="15.75" customHeight="1">
      <c r="A39" s="2" t="s">
        <v>12</v>
      </c>
      <c r="B39" s="2" t="s">
        <v>18</v>
      </c>
      <c r="C39" s="3">
        <v>99238.0</v>
      </c>
      <c r="D39" s="3">
        <v>127379.0</v>
      </c>
      <c r="E39" s="3">
        <v>247653.0</v>
      </c>
      <c r="F39" s="3">
        <v>264564.0</v>
      </c>
      <c r="G39" s="3">
        <v>298146.0</v>
      </c>
      <c r="H39" s="3">
        <v>336813.0</v>
      </c>
      <c r="I39" s="3">
        <v>315884.0</v>
      </c>
    </row>
    <row r="40" ht="15.75" customHeight="1">
      <c r="A40" s="2" t="s">
        <v>13</v>
      </c>
      <c r="B40" s="2" t="s">
        <v>18</v>
      </c>
      <c r="C40" s="4">
        <f t="shared" ref="C40:I40" si="5">(C38-C39)</f>
        <v>1751030</v>
      </c>
      <c r="D40" s="4">
        <f t="shared" si="5"/>
        <v>1956234</v>
      </c>
      <c r="E40" s="4">
        <f t="shared" si="5"/>
        <v>2068419</v>
      </c>
      <c r="F40" s="4">
        <f t="shared" si="5"/>
        <v>2097571</v>
      </c>
      <c r="G40" s="4">
        <f t="shared" si="5"/>
        <v>2755048</v>
      </c>
      <c r="H40" s="4">
        <f t="shared" si="5"/>
        <v>2959638</v>
      </c>
      <c r="I40" s="4">
        <f t="shared" si="5"/>
        <v>2661371</v>
      </c>
    </row>
    <row r="41" ht="15.75" customHeight="1">
      <c r="A41" s="2" t="s">
        <v>1</v>
      </c>
      <c r="B41" s="2" t="s">
        <v>19</v>
      </c>
    </row>
    <row r="42" ht="15.75" customHeight="1">
      <c r="A42" s="2" t="s">
        <v>2</v>
      </c>
      <c r="B42" s="2" t="s">
        <v>19</v>
      </c>
    </row>
    <row r="43" ht="15.75" customHeight="1">
      <c r="A43" s="2" t="s">
        <v>3</v>
      </c>
      <c r="B43" s="2" t="s">
        <v>19</v>
      </c>
    </row>
    <row r="44" ht="15.75" customHeight="1">
      <c r="A44" s="2" t="s">
        <v>4</v>
      </c>
      <c r="B44" s="2" t="s">
        <v>19</v>
      </c>
    </row>
    <row r="45" ht="15.75" customHeight="1">
      <c r="A45" s="2" t="s">
        <v>5</v>
      </c>
      <c r="B45" s="2" t="s">
        <v>19</v>
      </c>
    </row>
    <row r="46" ht="15.75" customHeight="1">
      <c r="A46" s="2" t="s">
        <v>6</v>
      </c>
      <c r="B46" s="2" t="s">
        <v>19</v>
      </c>
    </row>
    <row r="47" ht="15.75" customHeight="1">
      <c r="A47" s="2" t="s">
        <v>7</v>
      </c>
      <c r="B47" s="2" t="s">
        <v>19</v>
      </c>
    </row>
    <row r="48" ht="15.75" customHeight="1">
      <c r="A48" s="2" t="s">
        <v>8</v>
      </c>
      <c r="B48" s="2" t="s">
        <v>19</v>
      </c>
    </row>
    <row r="49" ht="15.75" customHeight="1">
      <c r="A49" s="2" t="s">
        <v>9</v>
      </c>
      <c r="B49" s="2" t="s">
        <v>19</v>
      </c>
    </row>
    <row r="50" ht="15.75" customHeight="1">
      <c r="A50" s="2" t="s">
        <v>10</v>
      </c>
      <c r="B50" s="2" t="s">
        <v>19</v>
      </c>
    </row>
    <row r="51" ht="15.75" customHeight="1">
      <c r="A51" s="2" t="s">
        <v>11</v>
      </c>
      <c r="B51" s="2" t="s">
        <v>19</v>
      </c>
      <c r="C51" s="3">
        <v>32964.0</v>
      </c>
      <c r="D51" s="3">
        <v>34510.0</v>
      </c>
      <c r="E51" s="3">
        <v>36360.0</v>
      </c>
      <c r="F51" s="3">
        <v>39737.0</v>
      </c>
      <c r="G51" s="3">
        <v>34978.0</v>
      </c>
      <c r="H51" s="3">
        <v>32363.0</v>
      </c>
      <c r="I51" s="3">
        <v>35037.0</v>
      </c>
    </row>
    <row r="52" ht="15.75" customHeight="1">
      <c r="A52" s="2" t="s">
        <v>12</v>
      </c>
      <c r="B52" s="2" t="s">
        <v>19</v>
      </c>
      <c r="C52" s="3">
        <v>106161.0</v>
      </c>
      <c r="D52" s="3">
        <v>205487.0</v>
      </c>
      <c r="E52" s="3">
        <v>463627.0</v>
      </c>
      <c r="F52" s="3">
        <v>477960.0</v>
      </c>
      <c r="G52" s="3">
        <v>542865.0</v>
      </c>
      <c r="H52" s="3">
        <v>680232.0</v>
      </c>
      <c r="I52" s="3">
        <v>615666.0</v>
      </c>
    </row>
    <row r="53" ht="15.75" customHeight="1">
      <c r="A53" s="2" t="s">
        <v>13</v>
      </c>
      <c r="B53" s="2" t="s">
        <v>19</v>
      </c>
      <c r="C53" s="4">
        <f t="shared" ref="C53:I53" si="6">(C51-C52)</f>
        <v>-73197</v>
      </c>
      <c r="D53" s="4">
        <f t="shared" si="6"/>
        <v>-170977</v>
      </c>
      <c r="E53" s="4">
        <f t="shared" si="6"/>
        <v>-427267</v>
      </c>
      <c r="F53" s="4">
        <f t="shared" si="6"/>
        <v>-438223</v>
      </c>
      <c r="G53" s="4">
        <f t="shared" si="6"/>
        <v>-507887</v>
      </c>
      <c r="H53" s="4">
        <f t="shared" si="6"/>
        <v>-647869</v>
      </c>
      <c r="I53" s="4">
        <f t="shared" si="6"/>
        <v>-580629</v>
      </c>
    </row>
    <row r="54" ht="15.75" customHeight="1">
      <c r="A54" s="2" t="s">
        <v>1</v>
      </c>
      <c r="B54" s="2" t="s">
        <v>20</v>
      </c>
    </row>
    <row r="55" ht="15.75" customHeight="1">
      <c r="A55" s="2" t="s">
        <v>2</v>
      </c>
      <c r="B55" s="2" t="s">
        <v>20</v>
      </c>
    </row>
    <row r="56" ht="15.75" customHeight="1">
      <c r="A56" s="2" t="s">
        <v>3</v>
      </c>
      <c r="B56" s="2" t="s">
        <v>20</v>
      </c>
    </row>
    <row r="57" ht="15.75" customHeight="1">
      <c r="A57" s="2" t="s">
        <v>4</v>
      </c>
      <c r="B57" s="2" t="s">
        <v>20</v>
      </c>
    </row>
    <row r="58" ht="15.75" customHeight="1">
      <c r="A58" s="2" t="s">
        <v>5</v>
      </c>
      <c r="B58" s="2" t="s">
        <v>20</v>
      </c>
    </row>
    <row r="59" ht="15.75" customHeight="1">
      <c r="A59" s="2" t="s">
        <v>6</v>
      </c>
      <c r="B59" s="2" t="s">
        <v>20</v>
      </c>
    </row>
    <row r="60" ht="15.75" customHeight="1">
      <c r="A60" s="2" t="s">
        <v>7</v>
      </c>
      <c r="B60" s="2" t="s">
        <v>20</v>
      </c>
    </row>
    <row r="61" ht="15.75" customHeight="1">
      <c r="A61" s="2" t="s">
        <v>8</v>
      </c>
      <c r="B61" s="2" t="s">
        <v>20</v>
      </c>
    </row>
    <row r="62" ht="15.75" customHeight="1">
      <c r="A62" s="2" t="s">
        <v>9</v>
      </c>
      <c r="B62" s="2" t="s">
        <v>20</v>
      </c>
    </row>
    <row r="63" ht="15.75" customHeight="1">
      <c r="A63" s="2" t="s">
        <v>10</v>
      </c>
      <c r="B63" s="2" t="s">
        <v>20</v>
      </c>
    </row>
    <row r="64" ht="15.75" customHeight="1">
      <c r="A64" s="2" t="s">
        <v>11</v>
      </c>
      <c r="B64" s="2" t="s">
        <v>20</v>
      </c>
      <c r="C64" s="3">
        <v>185.0</v>
      </c>
      <c r="D64" s="3">
        <v>801.0</v>
      </c>
      <c r="E64" s="3">
        <v>96.0</v>
      </c>
      <c r="F64" s="3">
        <v>56.0</v>
      </c>
      <c r="G64" s="3">
        <v>134.0</v>
      </c>
      <c r="H64" s="3">
        <v>455.0</v>
      </c>
      <c r="I64" s="3">
        <v>150.0</v>
      </c>
    </row>
    <row r="65" ht="15.75" customHeight="1">
      <c r="A65" s="2" t="s">
        <v>12</v>
      </c>
      <c r="B65" s="2" t="s">
        <v>20</v>
      </c>
      <c r="C65" s="3">
        <v>1557.0</v>
      </c>
      <c r="D65" s="3">
        <v>4645.0</v>
      </c>
      <c r="E65" s="3">
        <v>10864.0</v>
      </c>
      <c r="F65" s="3">
        <v>14146.0</v>
      </c>
      <c r="G65" s="3">
        <v>19281.0</v>
      </c>
      <c r="H65" s="3">
        <v>22069.0</v>
      </c>
      <c r="I65" s="3">
        <v>20711.0</v>
      </c>
    </row>
    <row r="66" ht="15.75" customHeight="1">
      <c r="A66" s="2" t="s">
        <v>13</v>
      </c>
      <c r="B66" s="2" t="s">
        <v>20</v>
      </c>
      <c r="C66" s="4">
        <f t="shared" ref="C66:I66" si="7">(C64-C65)</f>
        <v>-1372</v>
      </c>
      <c r="D66" s="4">
        <f t="shared" si="7"/>
        <v>-3844</v>
      </c>
      <c r="E66" s="4">
        <f t="shared" si="7"/>
        <v>-10768</v>
      </c>
      <c r="F66" s="4">
        <f t="shared" si="7"/>
        <v>-14090</v>
      </c>
      <c r="G66" s="4">
        <f t="shared" si="7"/>
        <v>-19147</v>
      </c>
      <c r="H66" s="4">
        <f t="shared" si="7"/>
        <v>-21614</v>
      </c>
      <c r="I66" s="4">
        <f t="shared" si="7"/>
        <v>-20561</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9.18" defaultRowHeight="15.0"/>
  <cols>
    <col customWidth="1" min="1" max="1" width="25.09"/>
    <col customWidth="1" min="2" max="27" width="8.64"/>
  </cols>
  <sheetData>
    <row r="1" ht="15.75" customHeight="1">
      <c r="A1" s="6" t="s">
        <v>0</v>
      </c>
      <c r="B1" s="6">
        <v>2017.0</v>
      </c>
      <c r="C1" s="6">
        <v>2018.0</v>
      </c>
      <c r="D1" s="6">
        <v>2019.0</v>
      </c>
      <c r="E1" s="6">
        <v>2020.0</v>
      </c>
      <c r="F1" s="6">
        <v>2021.0</v>
      </c>
      <c r="G1" s="6">
        <v>2022.0</v>
      </c>
      <c r="H1" s="6">
        <v>2023.0</v>
      </c>
    </row>
    <row r="2" ht="15.75" customHeight="1">
      <c r="A2" s="7" t="s">
        <v>21</v>
      </c>
      <c r="B2" s="4">
        <v>137166.0</v>
      </c>
      <c r="C2" s="4">
        <v>146343.0</v>
      </c>
      <c r="D2" s="4">
        <v>199786.0</v>
      </c>
      <c r="E2" s="4">
        <v>242911.0</v>
      </c>
      <c r="F2" s="4">
        <v>296903.0</v>
      </c>
      <c r="G2" s="4">
        <v>333012.0</v>
      </c>
      <c r="H2" s="4">
        <v>350207.0</v>
      </c>
    </row>
    <row r="3" ht="15.75" customHeight="1">
      <c r="A3" s="7" t="s">
        <v>22</v>
      </c>
      <c r="B3" s="3">
        <v>24401.0</v>
      </c>
      <c r="C3" s="3">
        <v>43114.0</v>
      </c>
      <c r="D3" s="3">
        <v>49839.0</v>
      </c>
      <c r="E3" s="3">
        <v>50899.0</v>
      </c>
      <c r="F3" s="3">
        <v>61384.0</v>
      </c>
      <c r="G3" s="3">
        <v>53314.0</v>
      </c>
      <c r="H3" s="3">
        <v>51517.0</v>
      </c>
    </row>
    <row r="4" ht="15.75" customHeight="1">
      <c r="A4" s="7" t="s">
        <v>23</v>
      </c>
      <c r="B4" s="3">
        <v>1235002.0</v>
      </c>
      <c r="C4" s="3">
        <v>1351360.0</v>
      </c>
      <c r="D4" s="3">
        <v>1384742.0</v>
      </c>
      <c r="E4" s="3">
        <v>1345756.0</v>
      </c>
      <c r="F4" s="3">
        <v>1635771.0</v>
      </c>
      <c r="G4" s="3">
        <v>1721571.0</v>
      </c>
      <c r="H4" s="3">
        <v>1602523.0</v>
      </c>
    </row>
    <row r="5" ht="15.75" customHeight="1">
      <c r="A5" s="7" t="s">
        <v>24</v>
      </c>
      <c r="B5" s="3">
        <v>217386.0</v>
      </c>
      <c r="C5" s="3">
        <v>385019.0</v>
      </c>
      <c r="D5" s="3">
        <v>925906.0</v>
      </c>
      <c r="E5" s="3">
        <v>1087306.0</v>
      </c>
      <c r="F5" s="3">
        <v>1300791.0</v>
      </c>
      <c r="G5" s="3">
        <v>1663443.0</v>
      </c>
      <c r="H5" s="3">
        <v>1461940.0</v>
      </c>
    </row>
    <row r="6" ht="15.75" customHeight="1">
      <c r="A6" s="7" t="s">
        <v>25</v>
      </c>
      <c r="B6" s="3">
        <v>9776.0</v>
      </c>
      <c r="C6" s="3">
        <v>11131.0</v>
      </c>
      <c r="D6" s="3">
        <v>13588.0</v>
      </c>
      <c r="E6" s="3">
        <v>10508.0</v>
      </c>
      <c r="F6" s="3">
        <v>17479.0</v>
      </c>
      <c r="G6" s="3">
        <v>118572.0</v>
      </c>
      <c r="H6" s="3">
        <v>97773.0</v>
      </c>
    </row>
    <row r="7" ht="15.75" customHeight="1">
      <c r="A7" s="7" t="s">
        <v>26</v>
      </c>
      <c r="B7" s="3">
        <v>12.0</v>
      </c>
      <c r="C7" s="3">
        <v>145.0</v>
      </c>
      <c r="D7" s="3">
        <v>2.0</v>
      </c>
      <c r="E7" s="3">
        <v>247.0</v>
      </c>
      <c r="F7" s="3">
        <v>115.0</v>
      </c>
      <c r="G7" s="3">
        <v>26.0</v>
      </c>
      <c r="H7" s="3">
        <v>1365.0</v>
      </c>
    </row>
    <row r="8" ht="15.75" customHeight="1"/>
    <row r="9" ht="15.75" customHeight="1"/>
    <row r="10" ht="15.75" customHeight="1"/>
    <row r="11" ht="15.75" customHeight="1">
      <c r="A11" s="6"/>
      <c r="B11" s="6" t="s">
        <v>27</v>
      </c>
      <c r="C11" s="4" t="s">
        <v>28</v>
      </c>
    </row>
    <row r="12" ht="15.75" customHeight="1">
      <c r="A12" s="7" t="s">
        <v>29</v>
      </c>
      <c r="B12" s="4">
        <v>333012.0</v>
      </c>
      <c r="C12" s="3">
        <v>53314.0</v>
      </c>
    </row>
    <row r="13" ht="15.75" customHeight="1">
      <c r="A13" s="7" t="s">
        <v>30</v>
      </c>
      <c r="B13" s="3">
        <v>1721571.0</v>
      </c>
      <c r="C13" s="3">
        <v>1663443.0</v>
      </c>
    </row>
    <row r="14" ht="15.75" customHeight="1">
      <c r="A14" s="7" t="s">
        <v>31</v>
      </c>
      <c r="B14" s="3">
        <v>118572.0</v>
      </c>
      <c r="C14" s="3">
        <v>26.0</v>
      </c>
    </row>
    <row r="15" ht="15.75" customHeight="1">
      <c r="A15" s="7"/>
    </row>
    <row r="16" ht="15.75" customHeight="1">
      <c r="A16" s="6"/>
      <c r="B16" s="6" t="s">
        <v>27</v>
      </c>
      <c r="C16" s="4" t="s">
        <v>28</v>
      </c>
    </row>
    <row r="17" ht="15.75" customHeight="1">
      <c r="A17" s="7" t="s">
        <v>29</v>
      </c>
      <c r="B17" s="4">
        <f t="shared" ref="B17:C17" si="1">(B12/1000)</f>
        <v>333.012</v>
      </c>
      <c r="C17" s="4">
        <f t="shared" si="1"/>
        <v>53.314</v>
      </c>
    </row>
    <row r="18" ht="15.75" customHeight="1">
      <c r="A18" s="7" t="s">
        <v>30</v>
      </c>
      <c r="B18" s="4">
        <f t="shared" ref="B18:C18" si="2">(B13/1000)</f>
        <v>1721.571</v>
      </c>
      <c r="C18" s="4">
        <f t="shared" si="2"/>
        <v>1663.443</v>
      </c>
    </row>
    <row r="19" ht="15.75" customHeight="1">
      <c r="A19" s="7" t="s">
        <v>31</v>
      </c>
      <c r="B19" s="4">
        <f t="shared" ref="B19:C19" si="3">(B14/1000)</f>
        <v>118.572</v>
      </c>
      <c r="C19" s="4">
        <f t="shared" si="3"/>
        <v>0.026</v>
      </c>
    </row>
    <row r="20" ht="15.75" customHeight="1"/>
    <row r="21" ht="15.75" customHeight="1"/>
    <row r="22" ht="15.75" customHeight="1"/>
    <row r="23" ht="15.75" customHeight="1">
      <c r="A23" s="6" t="s">
        <v>0</v>
      </c>
      <c r="B23" s="6">
        <v>2017.0</v>
      </c>
      <c r="C23" s="6">
        <v>2018.0</v>
      </c>
      <c r="D23" s="6">
        <v>2019.0</v>
      </c>
      <c r="E23" s="6">
        <v>2020.0</v>
      </c>
      <c r="F23" s="6">
        <v>2021.0</v>
      </c>
      <c r="G23" s="6">
        <v>2022.0</v>
      </c>
    </row>
    <row r="24" ht="15.75" customHeight="1">
      <c r="A24" s="7" t="s">
        <v>21</v>
      </c>
      <c r="B24" s="4">
        <f t="shared" ref="B24:G24" si="4">(B2/1000)</f>
        <v>137.166</v>
      </c>
      <c r="C24" s="4">
        <f t="shared" si="4"/>
        <v>146.343</v>
      </c>
      <c r="D24" s="4">
        <f t="shared" si="4"/>
        <v>199.786</v>
      </c>
      <c r="E24" s="4">
        <f t="shared" si="4"/>
        <v>242.911</v>
      </c>
      <c r="F24" s="4">
        <f t="shared" si="4"/>
        <v>296.903</v>
      </c>
      <c r="G24" s="4">
        <f t="shared" si="4"/>
        <v>333.012</v>
      </c>
    </row>
    <row r="25" ht="15.75" customHeight="1">
      <c r="A25" s="7" t="s">
        <v>22</v>
      </c>
      <c r="B25" s="4">
        <f t="shared" ref="B25:G25" si="5">(B3/1000)</f>
        <v>24.401</v>
      </c>
      <c r="C25" s="4">
        <f t="shared" si="5"/>
        <v>43.114</v>
      </c>
      <c r="D25" s="4">
        <f t="shared" si="5"/>
        <v>49.839</v>
      </c>
      <c r="E25" s="4">
        <f t="shared" si="5"/>
        <v>50.899</v>
      </c>
      <c r="F25" s="4">
        <f t="shared" si="5"/>
        <v>61.384</v>
      </c>
      <c r="G25" s="4">
        <f t="shared" si="5"/>
        <v>53.314</v>
      </c>
    </row>
    <row r="26" ht="15.75" customHeight="1"/>
    <row r="27" ht="15.75" customHeight="1">
      <c r="A27" s="6" t="s">
        <v>0</v>
      </c>
      <c r="B27" s="6">
        <v>2017.0</v>
      </c>
      <c r="C27" s="6">
        <v>2018.0</v>
      </c>
      <c r="D27" s="6">
        <v>2019.0</v>
      </c>
      <c r="E27" s="6">
        <v>2020.0</v>
      </c>
      <c r="F27" s="6">
        <v>2021.0</v>
      </c>
      <c r="G27" s="6">
        <v>2022.0</v>
      </c>
    </row>
    <row r="28" ht="15.75" customHeight="1">
      <c r="A28" s="7" t="s">
        <v>23</v>
      </c>
      <c r="B28" s="4">
        <f t="shared" ref="B28:G28" si="6">(B4/1000)</f>
        <v>1235.002</v>
      </c>
      <c r="C28" s="4">
        <f t="shared" si="6"/>
        <v>1351.36</v>
      </c>
      <c r="D28" s="4">
        <f t="shared" si="6"/>
        <v>1384.742</v>
      </c>
      <c r="E28" s="4">
        <f t="shared" si="6"/>
        <v>1345.756</v>
      </c>
      <c r="F28" s="4">
        <f t="shared" si="6"/>
        <v>1635.771</v>
      </c>
      <c r="G28" s="4">
        <f t="shared" si="6"/>
        <v>1721.571</v>
      </c>
    </row>
    <row r="29" ht="15.75" customHeight="1">
      <c r="A29" s="7" t="s">
        <v>24</v>
      </c>
      <c r="B29" s="4">
        <f t="shared" ref="B29:G29" si="7">(B5/1000)</f>
        <v>217.386</v>
      </c>
      <c r="C29" s="4">
        <f t="shared" si="7"/>
        <v>385.019</v>
      </c>
      <c r="D29" s="4">
        <f t="shared" si="7"/>
        <v>925.906</v>
      </c>
      <c r="E29" s="4">
        <f t="shared" si="7"/>
        <v>1087.306</v>
      </c>
      <c r="F29" s="4">
        <f t="shared" si="7"/>
        <v>1300.791</v>
      </c>
      <c r="G29" s="4">
        <f t="shared" si="7"/>
        <v>1663.443</v>
      </c>
    </row>
    <row r="30" ht="15.75" customHeight="1"/>
    <row r="31" ht="15.75" customHeight="1">
      <c r="A31" s="6" t="s">
        <v>0</v>
      </c>
      <c r="B31" s="6">
        <v>2017.0</v>
      </c>
      <c r="C31" s="6">
        <v>2018.0</v>
      </c>
      <c r="D31" s="6">
        <v>2019.0</v>
      </c>
      <c r="E31" s="6">
        <v>2020.0</v>
      </c>
      <c r="F31" s="6">
        <v>2021.0</v>
      </c>
      <c r="G31" s="6">
        <v>2022.0</v>
      </c>
    </row>
    <row r="32" ht="15.75" customHeight="1">
      <c r="A32" s="7" t="s">
        <v>25</v>
      </c>
      <c r="B32" s="4">
        <f t="shared" ref="B32:G32" si="8">(B6/1000)</f>
        <v>9.776</v>
      </c>
      <c r="C32" s="4">
        <f t="shared" si="8"/>
        <v>11.131</v>
      </c>
      <c r="D32" s="4">
        <f t="shared" si="8"/>
        <v>13.588</v>
      </c>
      <c r="E32" s="4">
        <f t="shared" si="8"/>
        <v>10.508</v>
      </c>
      <c r="F32" s="4">
        <f t="shared" si="8"/>
        <v>17.479</v>
      </c>
      <c r="G32" s="4">
        <f t="shared" si="8"/>
        <v>118.572</v>
      </c>
    </row>
    <row r="33" ht="15.75" customHeight="1">
      <c r="A33" s="7" t="s">
        <v>26</v>
      </c>
      <c r="B33" s="4">
        <f t="shared" ref="B33:G33" si="9">(B7/1000)</f>
        <v>0.012</v>
      </c>
      <c r="C33" s="4">
        <f t="shared" si="9"/>
        <v>0.145</v>
      </c>
      <c r="D33" s="4">
        <f t="shared" si="9"/>
        <v>0.002</v>
      </c>
      <c r="E33" s="4">
        <f t="shared" si="9"/>
        <v>0.247</v>
      </c>
      <c r="F33" s="4">
        <f t="shared" si="9"/>
        <v>0.115</v>
      </c>
      <c r="G33" s="4">
        <f t="shared" si="9"/>
        <v>0.026</v>
      </c>
    </row>
    <row r="34" ht="15.75" customHeight="1"/>
    <row r="35" ht="15.75" customHeight="1"/>
    <row r="36" ht="15.75" customHeight="1">
      <c r="A36" s="4" t="s">
        <v>0</v>
      </c>
      <c r="B36" s="4">
        <v>2017.0</v>
      </c>
      <c r="C36" s="4">
        <v>2018.0</v>
      </c>
      <c r="D36" s="4">
        <v>2019.0</v>
      </c>
      <c r="E36" s="4">
        <v>2020.0</v>
      </c>
      <c r="F36" s="4">
        <v>2021.0</v>
      </c>
      <c r="G36" s="4">
        <v>2022.0</v>
      </c>
    </row>
    <row r="37" ht="15.75" customHeight="1">
      <c r="A37" s="4" t="s">
        <v>21</v>
      </c>
      <c r="B37" s="4">
        <v>137.166</v>
      </c>
      <c r="C37" s="4">
        <v>146.343</v>
      </c>
      <c r="D37" s="4">
        <v>199.786</v>
      </c>
      <c r="E37" s="4">
        <v>242.911</v>
      </c>
      <c r="F37" s="4">
        <v>296.903</v>
      </c>
      <c r="G37" s="4">
        <v>333.012</v>
      </c>
    </row>
    <row r="38" ht="15.75" customHeight="1">
      <c r="A38" s="4" t="s">
        <v>22</v>
      </c>
      <c r="B38" s="4">
        <v>24.401</v>
      </c>
      <c r="C38" s="4">
        <v>43.114</v>
      </c>
      <c r="D38" s="4">
        <v>49.839</v>
      </c>
      <c r="E38" s="4">
        <v>50.899</v>
      </c>
      <c r="F38" s="4">
        <v>61.384</v>
      </c>
      <c r="G38" s="4">
        <v>53.314</v>
      </c>
    </row>
    <row r="39" ht="15.75" customHeight="1">
      <c r="A39" s="4" t="s">
        <v>23</v>
      </c>
      <c r="B39" s="4">
        <v>1235.002</v>
      </c>
      <c r="C39" s="4">
        <v>1351.36</v>
      </c>
      <c r="D39" s="4">
        <v>1384.742</v>
      </c>
      <c r="E39" s="4">
        <v>1345.756</v>
      </c>
      <c r="F39" s="4">
        <v>1635.771</v>
      </c>
      <c r="G39" s="4">
        <v>1721.571</v>
      </c>
    </row>
    <row r="40" ht="15.75" customHeight="1">
      <c r="A40" s="4" t="s">
        <v>24</v>
      </c>
      <c r="B40" s="4">
        <v>217.386</v>
      </c>
      <c r="C40" s="4">
        <v>385.019</v>
      </c>
      <c r="D40" s="4">
        <v>925.906</v>
      </c>
      <c r="E40" s="4">
        <v>1087.306</v>
      </c>
      <c r="F40" s="4">
        <v>1300.791</v>
      </c>
      <c r="G40" s="4">
        <v>1663.443</v>
      </c>
    </row>
    <row r="41" ht="15.75" customHeight="1">
      <c r="A41" s="4" t="s">
        <v>25</v>
      </c>
      <c r="B41" s="4">
        <v>9.776</v>
      </c>
      <c r="C41" s="4">
        <v>11.131</v>
      </c>
      <c r="D41" s="4">
        <v>13.588</v>
      </c>
      <c r="E41" s="4">
        <v>10.508</v>
      </c>
      <c r="F41" s="4">
        <v>17.479</v>
      </c>
      <c r="G41" s="4">
        <v>118.572</v>
      </c>
    </row>
    <row r="42" ht="15.75" customHeight="1">
      <c r="A42" s="4" t="s">
        <v>26</v>
      </c>
      <c r="B42" s="4">
        <v>0.012</v>
      </c>
      <c r="C42" s="4">
        <v>0.145</v>
      </c>
      <c r="D42" s="4">
        <v>0.002</v>
      </c>
      <c r="E42" s="4">
        <v>0.247</v>
      </c>
      <c r="F42" s="4">
        <v>0.115</v>
      </c>
      <c r="G42" s="4">
        <v>0.026</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9.18" defaultRowHeight="15.0"/>
  <cols>
    <col customWidth="1" min="1" max="2" width="8.64"/>
    <col customWidth="1" min="3" max="3" width="50.27"/>
    <col customWidth="1" min="4" max="4" width="18.09"/>
    <col customWidth="1" min="5" max="5" width="18.27"/>
    <col customWidth="1" min="6" max="26" width="8.64"/>
  </cols>
  <sheetData>
    <row r="1" ht="15.75" customHeight="1">
      <c r="A1" s="1"/>
      <c r="B1" s="1" t="s">
        <v>32</v>
      </c>
      <c r="C1" s="1" t="s">
        <v>33</v>
      </c>
      <c r="D1" s="1" t="s">
        <v>34</v>
      </c>
      <c r="E1" s="1" t="s">
        <v>35</v>
      </c>
    </row>
    <row r="2" ht="15.75" customHeight="1">
      <c r="B2" s="4">
        <v>3921.0</v>
      </c>
      <c r="C2" s="4" t="s">
        <v>36</v>
      </c>
      <c r="D2" s="4">
        <v>0.75</v>
      </c>
      <c r="E2" s="8">
        <v>223.57</v>
      </c>
    </row>
    <row r="3" ht="15.75" customHeight="1">
      <c r="B3" s="4">
        <v>3926.0</v>
      </c>
      <c r="C3" s="4" t="s">
        <v>37</v>
      </c>
      <c r="D3" s="4">
        <v>0.5</v>
      </c>
      <c r="E3" s="8">
        <v>149.23</v>
      </c>
    </row>
    <row r="4" ht="15.75" customHeight="1">
      <c r="B4" s="4">
        <v>3904.0</v>
      </c>
      <c r="C4" s="4" t="s">
        <v>38</v>
      </c>
      <c r="D4" s="4">
        <v>0.48</v>
      </c>
      <c r="E4" s="8">
        <v>142.64</v>
      </c>
    </row>
    <row r="5" ht="15.75" customHeight="1">
      <c r="B5" s="4">
        <v>3923.0</v>
      </c>
      <c r="C5" s="4" t="s">
        <v>39</v>
      </c>
      <c r="D5" s="4">
        <v>0.43</v>
      </c>
      <c r="E5" s="8">
        <v>129.5</v>
      </c>
    </row>
    <row r="6" ht="15.75" customHeight="1">
      <c r="B6" s="4">
        <v>3920.0</v>
      </c>
      <c r="C6" s="4" t="s">
        <v>40</v>
      </c>
      <c r="D6" s="4">
        <v>0.41</v>
      </c>
      <c r="E6" s="4">
        <v>121.63</v>
      </c>
    </row>
    <row r="7" ht="15.75" customHeight="1">
      <c r="B7" s="4">
        <v>3901.0</v>
      </c>
      <c r="C7" s="4" t="s">
        <v>41</v>
      </c>
      <c r="D7" s="4">
        <v>0.34</v>
      </c>
      <c r="E7" s="4">
        <v>100.71</v>
      </c>
    </row>
    <row r="8" ht="15.75" customHeight="1">
      <c r="B8" s="4">
        <v>3902.0</v>
      </c>
      <c r="C8" s="4" t="s">
        <v>42</v>
      </c>
      <c r="D8" s="4">
        <v>0.24</v>
      </c>
      <c r="E8" s="4">
        <v>73.35</v>
      </c>
    </row>
    <row r="9" ht="31.5" customHeight="1">
      <c r="B9" s="4">
        <v>3907.0</v>
      </c>
      <c r="C9" s="9" t="s">
        <v>43</v>
      </c>
      <c r="D9" s="4">
        <v>0.24</v>
      </c>
      <c r="E9" s="4">
        <v>73.32</v>
      </c>
    </row>
    <row r="10" ht="15.75" customHeight="1">
      <c r="B10" s="4">
        <v>3919.0</v>
      </c>
      <c r="C10" s="4" t="s">
        <v>44</v>
      </c>
      <c r="D10" s="4">
        <v>0.22</v>
      </c>
      <c r="E10" s="4">
        <v>64.39</v>
      </c>
    </row>
    <row r="11" ht="15.75" customHeight="1">
      <c r="B11" s="4">
        <v>3917.0</v>
      </c>
      <c r="C11" s="4" t="s">
        <v>45</v>
      </c>
      <c r="D11" s="4">
        <v>0.17</v>
      </c>
      <c r="E11" s="4">
        <v>50.56</v>
      </c>
    </row>
    <row r="12" ht="15.75" customHeight="1">
      <c r="A12" s="10"/>
      <c r="B12" s="10">
        <v>3903.0</v>
      </c>
      <c r="C12" s="10" t="s">
        <v>46</v>
      </c>
      <c r="D12" s="10">
        <v>0.09</v>
      </c>
      <c r="E12" s="10">
        <v>25.94</v>
      </c>
    </row>
    <row r="13" ht="15.75" customHeight="1">
      <c r="C13" s="11"/>
      <c r="D13" s="12"/>
      <c r="E13" s="13"/>
    </row>
    <row r="14" ht="15.75" customHeight="1"/>
    <row r="15" ht="15.75" customHeight="1">
      <c r="A15" s="1"/>
      <c r="B15" s="1" t="s">
        <v>32</v>
      </c>
      <c r="C15" s="1" t="s">
        <v>33</v>
      </c>
      <c r="D15" s="1" t="s">
        <v>34</v>
      </c>
      <c r="E15" s="1" t="s">
        <v>35</v>
      </c>
    </row>
    <row r="16" ht="15.75" customHeight="1">
      <c r="B16" s="4">
        <v>3925.0</v>
      </c>
      <c r="C16" s="4" t="s">
        <v>47</v>
      </c>
      <c r="D16" s="4">
        <v>1.28</v>
      </c>
      <c r="E16" s="8">
        <v>262.82</v>
      </c>
    </row>
    <row r="17" ht="15.75" customHeight="1">
      <c r="B17" s="4">
        <v>3923.0</v>
      </c>
      <c r="C17" s="4" t="s">
        <v>39</v>
      </c>
      <c r="D17" s="4">
        <v>0.24</v>
      </c>
      <c r="E17" s="8">
        <v>48.92</v>
      </c>
    </row>
    <row r="18" ht="15.75" customHeight="1">
      <c r="B18" s="4">
        <v>3926.0</v>
      </c>
      <c r="C18" s="4" t="s">
        <v>37</v>
      </c>
      <c r="D18" s="4">
        <v>0.18</v>
      </c>
      <c r="E18" s="8">
        <v>37.39</v>
      </c>
    </row>
    <row r="19" ht="15.75" customHeight="1">
      <c r="B19" s="4">
        <v>3918.0</v>
      </c>
      <c r="C19" s="4" t="s">
        <v>48</v>
      </c>
      <c r="D19" s="4">
        <v>0.15</v>
      </c>
      <c r="E19" s="8">
        <v>31.03</v>
      </c>
    </row>
    <row r="20" ht="15.75" customHeight="1">
      <c r="B20" s="4">
        <v>3902.0</v>
      </c>
      <c r="C20" s="4" t="s">
        <v>42</v>
      </c>
      <c r="D20" s="4">
        <v>0.04</v>
      </c>
      <c r="E20" s="8">
        <v>7.79</v>
      </c>
    </row>
    <row r="21" ht="15.75" customHeight="1">
      <c r="B21" s="4">
        <v>3921.0</v>
      </c>
      <c r="C21" s="4" t="s">
        <v>36</v>
      </c>
      <c r="D21" s="4">
        <v>0.01</v>
      </c>
      <c r="E21" s="8">
        <v>2.46</v>
      </c>
    </row>
    <row r="22" ht="15.75" customHeight="1">
      <c r="B22" s="4">
        <v>3919.0</v>
      </c>
      <c r="C22" s="4" t="s">
        <v>44</v>
      </c>
      <c r="D22" s="4">
        <v>0.01</v>
      </c>
      <c r="E22" s="8">
        <v>1.84</v>
      </c>
    </row>
    <row r="23" ht="15.75" customHeight="1">
      <c r="B23" s="4">
        <v>3915.0</v>
      </c>
      <c r="C23" s="4" t="s">
        <v>49</v>
      </c>
      <c r="D23" s="4">
        <v>0.01</v>
      </c>
      <c r="E23" s="8">
        <v>1.3</v>
      </c>
    </row>
    <row r="24" ht="15.75" customHeight="1">
      <c r="B24" s="4">
        <v>3920.0</v>
      </c>
      <c r="C24" s="4" t="s">
        <v>40</v>
      </c>
      <c r="D24" s="4">
        <v>0.0</v>
      </c>
      <c r="E24" s="4">
        <v>0.81</v>
      </c>
    </row>
    <row r="25" ht="33.0" customHeight="1">
      <c r="B25" s="4">
        <v>3907.0</v>
      </c>
      <c r="C25" s="9" t="s">
        <v>43</v>
      </c>
      <c r="D25" s="4">
        <v>0.0</v>
      </c>
      <c r="E25" s="4">
        <v>0.38</v>
      </c>
    </row>
    <row r="26" ht="15.75" customHeight="1">
      <c r="A26" s="10"/>
      <c r="B26" s="10">
        <v>3916.0</v>
      </c>
      <c r="C26" s="10" t="s">
        <v>50</v>
      </c>
      <c r="D26" s="10">
        <v>0.0</v>
      </c>
      <c r="E26" s="10">
        <v>0.34</v>
      </c>
    </row>
    <row r="27" ht="15.75" customHeight="1">
      <c r="C27" s="11"/>
      <c r="D27" s="12"/>
      <c r="E27" s="13"/>
    </row>
    <row r="28" ht="15.75" customHeight="1"/>
    <row r="29" ht="15.75" customHeight="1"/>
    <row r="30" ht="15.75" customHeight="1"/>
    <row r="31" ht="15.75" customHeight="1">
      <c r="A31" s="4" t="s">
        <v>51</v>
      </c>
    </row>
    <row r="32" ht="15.75" customHeight="1"/>
    <row r="33" ht="15.75" customHeight="1">
      <c r="A33" s="14" t="s">
        <v>52</v>
      </c>
      <c r="B33" s="15">
        <v>39.0</v>
      </c>
      <c r="C33" s="15" t="s">
        <v>53</v>
      </c>
      <c r="D33" s="15"/>
      <c r="E33" s="15"/>
      <c r="F33" s="15"/>
    </row>
    <row r="34" ht="15.75" customHeight="1">
      <c r="A34" s="14" t="s">
        <v>54</v>
      </c>
      <c r="B34" s="14" t="s">
        <v>55</v>
      </c>
      <c r="C34" s="14" t="s">
        <v>33</v>
      </c>
      <c r="D34" s="14" t="s">
        <v>56</v>
      </c>
      <c r="E34" s="14" t="s">
        <v>57</v>
      </c>
      <c r="F34" s="14" t="s">
        <v>58</v>
      </c>
    </row>
    <row r="35" ht="15.75" customHeight="1">
      <c r="A35" s="15"/>
      <c r="B35" s="15" t="s">
        <v>59</v>
      </c>
      <c r="C35" s="15">
        <v>2.993763252503E10</v>
      </c>
      <c r="D35" s="15" t="s">
        <v>60</v>
      </c>
      <c r="E35" s="15"/>
      <c r="F35" s="15"/>
    </row>
    <row r="36" ht="15.75" customHeight="1">
      <c r="A36" s="15">
        <v>1.0</v>
      </c>
      <c r="B36" s="15">
        <v>39.0</v>
      </c>
      <c r="C36" s="15" t="s">
        <v>53</v>
      </c>
      <c r="D36" s="15">
        <v>1.21690320722E9</v>
      </c>
      <c r="E36" s="15" t="s">
        <v>61</v>
      </c>
      <c r="F36" s="15">
        <v>4.06</v>
      </c>
    </row>
    <row r="37" ht="15.75" customHeight="1">
      <c r="A37" s="15">
        <v>2.0</v>
      </c>
      <c r="B37" s="15">
        <v>3921.0</v>
      </c>
      <c r="C37" s="15" t="s">
        <v>62</v>
      </c>
      <c r="D37" s="15">
        <v>2.2356515618E8</v>
      </c>
      <c r="E37" s="15">
        <v>223.57</v>
      </c>
      <c r="F37" s="15">
        <v>0.75</v>
      </c>
    </row>
    <row r="38" ht="15.75" customHeight="1">
      <c r="A38" s="15">
        <v>3.0</v>
      </c>
      <c r="B38" s="15">
        <v>3926.0</v>
      </c>
      <c r="C38" s="15" t="s">
        <v>63</v>
      </c>
      <c r="D38" s="15">
        <v>1.492342234E8</v>
      </c>
      <c r="E38" s="15">
        <v>149.23</v>
      </c>
      <c r="F38" s="15">
        <v>0.5</v>
      </c>
    </row>
    <row r="39" ht="15.75" customHeight="1">
      <c r="A39" s="15">
        <v>4.0</v>
      </c>
      <c r="B39" s="15">
        <v>3904.0</v>
      </c>
      <c r="C39" s="15" t="s">
        <v>64</v>
      </c>
      <c r="D39" s="15">
        <v>1.426363215E8</v>
      </c>
      <c r="E39" s="15">
        <v>142.64</v>
      </c>
      <c r="F39" s="15">
        <v>0.48</v>
      </c>
    </row>
    <row r="40" ht="15.75" customHeight="1">
      <c r="A40" s="15">
        <v>5.0</v>
      </c>
      <c r="B40" s="15">
        <v>3923.0</v>
      </c>
      <c r="C40" s="15" t="s">
        <v>65</v>
      </c>
      <c r="D40" s="15">
        <v>1.2949998547E8</v>
      </c>
      <c r="E40" s="15">
        <v>129.5</v>
      </c>
      <c r="F40" s="15">
        <v>0.43</v>
      </c>
    </row>
    <row r="41" ht="15.75" customHeight="1">
      <c r="A41" s="15">
        <v>6.0</v>
      </c>
      <c r="B41" s="15">
        <v>3920.0</v>
      </c>
      <c r="C41" s="15" t="s">
        <v>66</v>
      </c>
      <c r="D41" s="15">
        <v>1.2162811159E8</v>
      </c>
      <c r="E41" s="15">
        <v>121.63</v>
      </c>
      <c r="F41" s="15">
        <v>0.41</v>
      </c>
    </row>
    <row r="42" ht="15.75" customHeight="1">
      <c r="A42" s="15">
        <v>7.0</v>
      </c>
      <c r="B42" s="15">
        <v>3901.0</v>
      </c>
      <c r="C42" s="15" t="s">
        <v>67</v>
      </c>
      <c r="D42" s="15">
        <v>1.0070710574E8</v>
      </c>
      <c r="E42" s="15">
        <v>100.71</v>
      </c>
      <c r="F42" s="15">
        <v>0.34</v>
      </c>
    </row>
    <row r="43" ht="15.75" customHeight="1">
      <c r="A43" s="15">
        <v>8.0</v>
      </c>
      <c r="B43" s="15">
        <v>3902.0</v>
      </c>
      <c r="C43" s="15" t="s">
        <v>68</v>
      </c>
      <c r="D43" s="15">
        <v>7.334639643E7</v>
      </c>
      <c r="E43" s="15">
        <v>73.35</v>
      </c>
      <c r="F43" s="15">
        <v>0.24</v>
      </c>
    </row>
    <row r="44" ht="15.75" customHeight="1">
      <c r="A44" s="15">
        <v>9.0</v>
      </c>
      <c r="B44" s="15">
        <v>3907.0</v>
      </c>
      <c r="C44" s="15" t="s">
        <v>69</v>
      </c>
      <c r="D44" s="15">
        <v>7.332144758E7</v>
      </c>
      <c r="E44" s="15">
        <v>73.32</v>
      </c>
      <c r="F44" s="15">
        <v>0.24</v>
      </c>
    </row>
    <row r="45" ht="15.75" customHeight="1">
      <c r="A45" s="15">
        <v>10.0</v>
      </c>
      <c r="B45" s="15">
        <v>3919.0</v>
      </c>
      <c r="C45" s="15" t="s">
        <v>70</v>
      </c>
      <c r="D45" s="15">
        <v>6.439188839E7</v>
      </c>
      <c r="E45" s="15">
        <v>64.39</v>
      </c>
      <c r="F45" s="15">
        <v>0.22</v>
      </c>
    </row>
    <row r="46" ht="15.75" customHeight="1">
      <c r="A46" s="15">
        <v>11.0</v>
      </c>
      <c r="B46" s="15">
        <v>3917.0</v>
      </c>
      <c r="C46" s="15" t="s">
        <v>71</v>
      </c>
      <c r="D46" s="16">
        <v>5.055872101E7</v>
      </c>
      <c r="E46" s="15">
        <v>50.56</v>
      </c>
      <c r="F46" s="15">
        <v>0.17</v>
      </c>
    </row>
    <row r="47" ht="15.75" customHeight="1">
      <c r="A47" s="15">
        <v>12.0</v>
      </c>
      <c r="B47" s="15">
        <v>3903.0</v>
      </c>
      <c r="C47" s="15" t="s">
        <v>72</v>
      </c>
      <c r="D47" s="15">
        <v>2.593976822E7</v>
      </c>
      <c r="E47" s="15">
        <v>25.94</v>
      </c>
      <c r="F47" s="15">
        <v>0.09</v>
      </c>
    </row>
    <row r="48" ht="15.75" customHeight="1">
      <c r="A48" s="15">
        <v>13.0</v>
      </c>
      <c r="B48" s="15">
        <v>3909.0</v>
      </c>
      <c r="C48" s="15" t="s">
        <v>73</v>
      </c>
      <c r="D48" s="15">
        <v>2.134067927E7</v>
      </c>
      <c r="E48" s="15">
        <v>21.34</v>
      </c>
      <c r="F48" s="15">
        <v>0.07</v>
      </c>
    </row>
    <row r="49" ht="15.75" customHeight="1">
      <c r="A49" s="15">
        <v>14.0</v>
      </c>
      <c r="B49" s="15">
        <v>3906.0</v>
      </c>
      <c r="C49" s="15" t="s">
        <v>74</v>
      </c>
      <c r="D49" s="15">
        <v>1.259992252E7</v>
      </c>
      <c r="E49" s="15">
        <v>12.6</v>
      </c>
      <c r="F49" s="15">
        <v>0.04</v>
      </c>
    </row>
    <row r="50" ht="15.75" customHeight="1">
      <c r="A50" s="15">
        <v>15.0</v>
      </c>
      <c r="B50" s="15">
        <v>3924.0</v>
      </c>
      <c r="C50" s="15" t="s">
        <v>75</v>
      </c>
      <c r="D50" s="15">
        <v>8409714.14</v>
      </c>
      <c r="E50" s="15">
        <v>8.41</v>
      </c>
      <c r="F50" s="15">
        <v>0.03</v>
      </c>
    </row>
    <row r="51" ht="15.75" customHeight="1">
      <c r="A51" s="15">
        <v>16.0</v>
      </c>
      <c r="B51" s="15">
        <v>3925.0</v>
      </c>
      <c r="C51" s="15" t="s">
        <v>76</v>
      </c>
      <c r="D51" s="15">
        <v>4430116.45</v>
      </c>
      <c r="E51" s="15">
        <v>4.43</v>
      </c>
      <c r="F51" s="15">
        <v>0.01</v>
      </c>
    </row>
    <row r="52" ht="15.75" customHeight="1">
      <c r="A52" s="15">
        <v>17.0</v>
      </c>
      <c r="B52" s="15">
        <v>3908.0</v>
      </c>
      <c r="C52" s="15" t="s">
        <v>77</v>
      </c>
      <c r="D52" s="15">
        <v>3008274.13</v>
      </c>
      <c r="E52" s="15">
        <v>3.01</v>
      </c>
      <c r="F52" s="15">
        <v>0.01</v>
      </c>
    </row>
    <row r="53" ht="15.75" customHeight="1">
      <c r="A53" s="15">
        <v>18.0</v>
      </c>
      <c r="B53" s="15">
        <v>3918.0</v>
      </c>
      <c r="C53" s="15" t="s">
        <v>78</v>
      </c>
      <c r="D53" s="15">
        <v>2876300.12</v>
      </c>
      <c r="E53" s="15">
        <v>2.88</v>
      </c>
      <c r="F53" s="15">
        <v>0.01</v>
      </c>
    </row>
    <row r="54" ht="15.75" customHeight="1">
      <c r="A54" s="15">
        <v>19.0</v>
      </c>
      <c r="B54" s="15">
        <v>3905.0</v>
      </c>
      <c r="C54" s="15" t="s">
        <v>79</v>
      </c>
      <c r="D54" s="15">
        <v>2792796.34</v>
      </c>
      <c r="E54" s="15">
        <v>2.79</v>
      </c>
      <c r="F54" s="15">
        <v>0.01</v>
      </c>
    </row>
    <row r="55" ht="15.75" customHeight="1">
      <c r="A55" s="15">
        <v>20.0</v>
      </c>
      <c r="B55" s="15">
        <v>3910.0</v>
      </c>
      <c r="C55" s="15" t="s">
        <v>80</v>
      </c>
      <c r="D55" s="15">
        <v>1830376.73</v>
      </c>
      <c r="E55" s="15">
        <v>1.83</v>
      </c>
      <c r="F55" s="15">
        <v>0.01</v>
      </c>
    </row>
    <row r="56" ht="15.75" customHeight="1">
      <c r="A56" s="15">
        <v>21.0</v>
      </c>
      <c r="B56" s="15">
        <v>3916.0</v>
      </c>
      <c r="C56" s="15" t="s">
        <v>81</v>
      </c>
      <c r="D56" s="15">
        <v>1575371.7</v>
      </c>
      <c r="E56" s="15">
        <v>1.58</v>
      </c>
      <c r="F56" s="15">
        <v>0.01</v>
      </c>
    </row>
    <row r="57" ht="15.75" customHeight="1">
      <c r="A57" s="15">
        <v>22.0</v>
      </c>
      <c r="B57" s="15">
        <v>3911.0</v>
      </c>
      <c r="C57" s="15" t="s">
        <v>82</v>
      </c>
      <c r="D57" s="15">
        <v>1266432.92</v>
      </c>
      <c r="E57" s="15">
        <v>1.27</v>
      </c>
      <c r="F57" s="15"/>
    </row>
    <row r="58" ht="15.75" customHeight="1">
      <c r="A58" s="15">
        <v>23.0</v>
      </c>
      <c r="B58" s="15">
        <v>3922.0</v>
      </c>
      <c r="C58" s="15" t="s">
        <v>83</v>
      </c>
      <c r="D58" s="15">
        <v>895421.77</v>
      </c>
      <c r="E58" s="15">
        <v>0.9</v>
      </c>
      <c r="F58" s="15"/>
    </row>
    <row r="59" ht="15.75" customHeight="1">
      <c r="A59" s="15">
        <v>24.0</v>
      </c>
      <c r="B59" s="15">
        <v>3912.0</v>
      </c>
      <c r="C59" s="15" t="s">
        <v>84</v>
      </c>
      <c r="D59" s="15">
        <v>790063.7</v>
      </c>
      <c r="E59" s="15">
        <v>0.79</v>
      </c>
      <c r="F59" s="15"/>
    </row>
    <row r="60" ht="15.75" customHeight="1">
      <c r="A60" s="15">
        <v>25.0</v>
      </c>
      <c r="B60" s="15">
        <v>3914.0</v>
      </c>
      <c r="C60" s="15" t="s">
        <v>85</v>
      </c>
      <c r="D60" s="15">
        <v>139234.83</v>
      </c>
      <c r="E60" s="15">
        <v>0.14</v>
      </c>
      <c r="F60" s="15"/>
    </row>
    <row r="61" ht="15.75" customHeight="1">
      <c r="A61" s="15">
        <v>26.0</v>
      </c>
      <c r="B61" s="15">
        <v>3913.0</v>
      </c>
      <c r="C61" s="15" t="s">
        <v>86</v>
      </c>
      <c r="D61" s="15">
        <v>59858.43</v>
      </c>
      <c r="E61" s="15">
        <v>0.06</v>
      </c>
      <c r="F61" s="15"/>
    </row>
    <row r="62" ht="15.75" customHeight="1">
      <c r="A62" s="15">
        <v>27.0</v>
      </c>
      <c r="B62" s="15">
        <v>3915.0</v>
      </c>
      <c r="C62" s="15" t="s">
        <v>87</v>
      </c>
      <c r="D62" s="15">
        <v>59518.66</v>
      </c>
      <c r="E62" s="15">
        <v>0.06</v>
      </c>
      <c r="F62" s="15"/>
    </row>
    <row r="63" ht="15.75" customHeight="1"/>
    <row r="64" ht="15.75" customHeight="1">
      <c r="E64" s="17">
        <f>SUM(E37:E56)</f>
        <v>1213.71</v>
      </c>
    </row>
    <row r="65" ht="15.75" customHeight="1"/>
    <row r="66" ht="15.75" customHeight="1">
      <c r="A66" s="4" t="s">
        <v>88</v>
      </c>
    </row>
    <row r="67" ht="15.75" customHeight="1"/>
    <row r="68" ht="15.75" customHeight="1">
      <c r="A68" s="14" t="s">
        <v>54</v>
      </c>
      <c r="B68" s="14" t="s">
        <v>55</v>
      </c>
      <c r="C68" s="14" t="s">
        <v>33</v>
      </c>
      <c r="D68" s="14" t="s">
        <v>56</v>
      </c>
      <c r="E68" s="14" t="s">
        <v>57</v>
      </c>
      <c r="F68" s="14" t="s">
        <v>58</v>
      </c>
    </row>
    <row r="69" ht="15.75" customHeight="1">
      <c r="A69" s="18"/>
      <c r="B69" s="18" t="s">
        <v>59</v>
      </c>
      <c r="C69" s="18">
        <v>2.0575772753E10</v>
      </c>
      <c r="D69" s="18">
        <v>20575.77</v>
      </c>
      <c r="E69" s="18"/>
      <c r="F69" s="18"/>
    </row>
    <row r="70" ht="15.75" customHeight="1">
      <c r="A70" s="18">
        <v>1.0</v>
      </c>
      <c r="B70" s="18">
        <v>39.0</v>
      </c>
      <c r="C70" s="18" t="s">
        <v>53</v>
      </c>
      <c r="D70" s="18">
        <v>3.955129189E8</v>
      </c>
      <c r="E70" s="18">
        <v>395.51</v>
      </c>
      <c r="F70" s="18">
        <v>1.92</v>
      </c>
    </row>
    <row r="71" ht="15.75" customHeight="1">
      <c r="A71" s="18">
        <v>2.0</v>
      </c>
      <c r="B71" s="18">
        <v>3925.0</v>
      </c>
      <c r="C71" s="18" t="s">
        <v>76</v>
      </c>
      <c r="D71" s="18">
        <v>2.628184287E8</v>
      </c>
      <c r="E71" s="18">
        <v>262.82</v>
      </c>
      <c r="F71" s="18">
        <v>1.28</v>
      </c>
    </row>
    <row r="72" ht="15.75" customHeight="1">
      <c r="A72" s="18">
        <v>3.0</v>
      </c>
      <c r="B72" s="18">
        <v>3923.0</v>
      </c>
      <c r="C72" s="18" t="s">
        <v>65</v>
      </c>
      <c r="D72" s="18">
        <v>4.89245501E7</v>
      </c>
      <c r="E72" s="18">
        <v>48.92</v>
      </c>
      <c r="F72" s="18">
        <v>0.24</v>
      </c>
    </row>
    <row r="73" ht="15.75" customHeight="1">
      <c r="A73" s="18">
        <v>4.0</v>
      </c>
      <c r="B73" s="18">
        <v>3926.0</v>
      </c>
      <c r="C73" s="18" t="s">
        <v>63</v>
      </c>
      <c r="D73" s="18">
        <v>3.73925366E7</v>
      </c>
      <c r="E73" s="18">
        <v>37.39</v>
      </c>
      <c r="F73" s="18">
        <v>0.18</v>
      </c>
    </row>
    <row r="74" ht="15.75" customHeight="1">
      <c r="A74" s="18">
        <v>5.0</v>
      </c>
      <c r="B74" s="18">
        <v>3918.0</v>
      </c>
      <c r="C74" s="18" t="s">
        <v>78</v>
      </c>
      <c r="D74" s="18">
        <v>3.103353417E7</v>
      </c>
      <c r="E74" s="18">
        <v>31.03</v>
      </c>
      <c r="F74" s="18">
        <v>0.15</v>
      </c>
    </row>
    <row r="75" ht="15.75" customHeight="1">
      <c r="A75" s="18">
        <v>6.0</v>
      </c>
      <c r="B75" s="18">
        <v>3902.0</v>
      </c>
      <c r="C75" s="18" t="s">
        <v>68</v>
      </c>
      <c r="D75" s="18">
        <v>7791990.54</v>
      </c>
      <c r="E75" s="18">
        <v>7.79</v>
      </c>
      <c r="F75" s="18">
        <v>0.04</v>
      </c>
    </row>
    <row r="76" ht="15.75" customHeight="1">
      <c r="A76" s="18">
        <v>7.0</v>
      </c>
      <c r="B76" s="18">
        <v>3921.0</v>
      </c>
      <c r="C76" s="18" t="s">
        <v>62</v>
      </c>
      <c r="D76" s="18">
        <v>2463443.08</v>
      </c>
      <c r="E76" s="18">
        <v>2.46</v>
      </c>
      <c r="F76" s="18">
        <v>0.01</v>
      </c>
    </row>
    <row r="77" ht="15.75" customHeight="1">
      <c r="A77" s="18">
        <v>8.0</v>
      </c>
      <c r="B77" s="18">
        <v>3919.0</v>
      </c>
      <c r="C77" s="18" t="s">
        <v>70</v>
      </c>
      <c r="D77" s="18">
        <v>1842642.71</v>
      </c>
      <c r="E77" s="18">
        <v>1.84</v>
      </c>
      <c r="F77" s="18">
        <v>0.01</v>
      </c>
    </row>
    <row r="78" ht="15.75" customHeight="1">
      <c r="A78" s="18">
        <v>9.0</v>
      </c>
      <c r="B78" s="18">
        <v>3915.0</v>
      </c>
      <c r="C78" s="18" t="s">
        <v>87</v>
      </c>
      <c r="D78" s="18">
        <v>1304865.94</v>
      </c>
      <c r="E78" s="18">
        <v>1.3</v>
      </c>
      <c r="F78" s="18">
        <v>0.01</v>
      </c>
    </row>
    <row r="79" ht="15.75" customHeight="1">
      <c r="A79" s="18">
        <v>10.0</v>
      </c>
      <c r="B79" s="18">
        <v>3920.0</v>
      </c>
      <c r="C79" s="18" t="s">
        <v>66</v>
      </c>
      <c r="D79" s="18">
        <v>807229.61</v>
      </c>
      <c r="E79" s="18">
        <v>0.81</v>
      </c>
      <c r="F79" s="18"/>
    </row>
    <row r="80" ht="15.75" customHeight="1">
      <c r="A80" s="18">
        <v>11.0</v>
      </c>
      <c r="B80" s="18">
        <v>3907.0</v>
      </c>
      <c r="C80" s="18" t="s">
        <v>69</v>
      </c>
      <c r="D80" s="18">
        <v>377885.94</v>
      </c>
      <c r="E80" s="18">
        <v>0.38</v>
      </c>
      <c r="F80" s="18"/>
    </row>
    <row r="81" ht="15.75" customHeight="1">
      <c r="A81" s="18">
        <v>12.0</v>
      </c>
      <c r="B81" s="18">
        <v>3916.0</v>
      </c>
      <c r="C81" s="18" t="s">
        <v>81</v>
      </c>
      <c r="D81" s="18">
        <v>343245.6</v>
      </c>
      <c r="E81" s="18">
        <v>0.34</v>
      </c>
      <c r="F81" s="18"/>
    </row>
    <row r="82" ht="15.75" customHeight="1">
      <c r="A82" s="18">
        <v>13.0</v>
      </c>
      <c r="B82" s="18">
        <v>3917.0</v>
      </c>
      <c r="C82" s="18" t="s">
        <v>71</v>
      </c>
      <c r="D82" s="18">
        <v>222779.32</v>
      </c>
      <c r="E82" s="18">
        <v>0.22</v>
      </c>
      <c r="F82" s="18"/>
    </row>
    <row r="83" ht="15.75" customHeight="1">
      <c r="A83" s="18">
        <v>14.0</v>
      </c>
      <c r="B83" s="18">
        <v>3924.0</v>
      </c>
      <c r="C83" s="18" t="s">
        <v>75</v>
      </c>
      <c r="D83" s="18">
        <v>107867.62</v>
      </c>
      <c r="E83" s="18">
        <v>0.11</v>
      </c>
      <c r="F83" s="18"/>
    </row>
    <row r="84" ht="15.75" customHeight="1">
      <c r="A84" s="18">
        <v>15.0</v>
      </c>
      <c r="B84" s="18">
        <v>3901.0</v>
      </c>
      <c r="C84" s="18" t="s">
        <v>67</v>
      </c>
      <c r="D84" s="18">
        <v>26624.0</v>
      </c>
      <c r="E84" s="18">
        <v>0.03</v>
      </c>
      <c r="F84" s="18"/>
    </row>
    <row r="85" ht="15.75" customHeight="1">
      <c r="A85" s="18">
        <v>16.0</v>
      </c>
      <c r="B85" s="18">
        <v>3909.0</v>
      </c>
      <c r="C85" s="18" t="s">
        <v>73</v>
      </c>
      <c r="D85" s="18">
        <v>21722.5</v>
      </c>
      <c r="E85" s="18">
        <v>0.02</v>
      </c>
      <c r="F85" s="18"/>
    </row>
    <row r="86" ht="15.75" customHeight="1">
      <c r="A86" s="18">
        <v>17.0</v>
      </c>
      <c r="B86" s="18">
        <v>3908.0</v>
      </c>
      <c r="C86" s="18" t="s">
        <v>77</v>
      </c>
      <c r="D86" s="18">
        <v>21000.0</v>
      </c>
      <c r="E86" s="18">
        <v>0.02</v>
      </c>
      <c r="F86" s="18"/>
    </row>
    <row r="87" ht="15.75" customHeight="1">
      <c r="A87" s="18">
        <v>18.0</v>
      </c>
      <c r="B87" s="18">
        <v>3905.0</v>
      </c>
      <c r="C87" s="18" t="s">
        <v>79</v>
      </c>
      <c r="D87" s="18">
        <v>12520.0</v>
      </c>
      <c r="E87" s="18">
        <v>0.01</v>
      </c>
      <c r="F87" s="18"/>
    </row>
    <row r="88" ht="15.75" customHeight="1">
      <c r="A88" s="18">
        <v>19.0</v>
      </c>
      <c r="B88" s="18">
        <v>3922.0</v>
      </c>
      <c r="C88" s="18" t="s">
        <v>83</v>
      </c>
      <c r="D88" s="18">
        <v>42.84</v>
      </c>
      <c r="E88" s="18">
        <v>0.0</v>
      </c>
      <c r="F88" s="18"/>
    </row>
    <row r="89" ht="15.75" customHeight="1">
      <c r="A89" s="18">
        <v>20.0</v>
      </c>
      <c r="B89" s="18">
        <v>3912.0</v>
      </c>
      <c r="C89" s="18" t="s">
        <v>84</v>
      </c>
      <c r="D89" s="18">
        <v>9.6</v>
      </c>
      <c r="E89" s="18">
        <v>0.0</v>
      </c>
      <c r="F89" s="18"/>
    </row>
    <row r="90" ht="15.75" customHeight="1"/>
    <row r="91" ht="15.75" customHeight="1">
      <c r="E91" s="4">
        <f>SUM(E71:E89)</f>
        <v>395.49</v>
      </c>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9.18" defaultRowHeight="15.0"/>
  <cols>
    <col customWidth="1" min="1" max="1" width="8.64"/>
    <col customWidth="1" min="2" max="2" width="37.18"/>
    <col customWidth="1" min="3" max="3" width="13.09"/>
    <col customWidth="1" min="4" max="4" width="14.82"/>
    <col customWidth="1" min="5" max="10" width="8.64"/>
    <col customWidth="1" min="11" max="11" width="46.09"/>
    <col customWidth="1" min="12" max="12" width="14.27"/>
    <col customWidth="1" min="13" max="13" width="18.82"/>
    <col customWidth="1" min="14" max="14" width="14.73"/>
    <col customWidth="1" min="15" max="26" width="8.64"/>
  </cols>
  <sheetData>
    <row r="1" ht="15.75" customHeight="1"/>
    <row r="2" ht="15.75" customHeight="1">
      <c r="A2" s="4" t="s">
        <v>89</v>
      </c>
      <c r="I2" s="4" t="s">
        <v>90</v>
      </c>
    </row>
    <row r="3" ht="15.75" customHeight="1">
      <c r="A3" s="6"/>
      <c r="B3" s="6"/>
      <c r="C3" s="6"/>
      <c r="D3" s="6"/>
      <c r="E3" s="6"/>
      <c r="J3" s="4" t="s">
        <v>91</v>
      </c>
    </row>
    <row r="4" ht="15.75" customHeight="1">
      <c r="A4" s="4" t="s">
        <v>32</v>
      </c>
      <c r="B4" s="4" t="s">
        <v>33</v>
      </c>
      <c r="C4" s="4" t="s">
        <v>34</v>
      </c>
      <c r="D4" s="4" t="s">
        <v>35</v>
      </c>
      <c r="I4" s="4" t="s">
        <v>54</v>
      </c>
      <c r="J4" s="10" t="s">
        <v>32</v>
      </c>
      <c r="K4" s="10" t="s">
        <v>33</v>
      </c>
      <c r="L4" s="10" t="s">
        <v>35</v>
      </c>
    </row>
    <row r="5" ht="15.75" customHeight="1">
      <c r="A5" s="4">
        <v>5407.0</v>
      </c>
      <c r="B5" s="4" t="s">
        <v>92</v>
      </c>
      <c r="C5" s="4">
        <v>0.46</v>
      </c>
      <c r="D5" s="4">
        <v>137.44</v>
      </c>
      <c r="I5" s="4">
        <v>1.0</v>
      </c>
      <c r="J5" s="4">
        <v>6006.0</v>
      </c>
      <c r="K5" s="4" t="s">
        <v>93</v>
      </c>
      <c r="L5" s="8">
        <v>1878.63</v>
      </c>
    </row>
    <row r="6" ht="15.75" customHeight="1">
      <c r="A6" s="4">
        <v>5401.0</v>
      </c>
      <c r="B6" s="4" t="s">
        <v>94</v>
      </c>
      <c r="C6" s="4">
        <v>0.09</v>
      </c>
      <c r="D6" s="4">
        <v>27.27</v>
      </c>
      <c r="I6" s="4">
        <v>2.0</v>
      </c>
      <c r="J6" s="4">
        <v>6004.0</v>
      </c>
      <c r="K6" s="4" t="s">
        <v>95</v>
      </c>
      <c r="L6" s="4">
        <v>924.63</v>
      </c>
    </row>
    <row r="7" ht="15.75" customHeight="1">
      <c r="A7" s="4">
        <v>5402.0</v>
      </c>
      <c r="B7" s="4" t="s">
        <v>96</v>
      </c>
      <c r="C7" s="4">
        <v>0.07</v>
      </c>
      <c r="D7" s="4">
        <v>21.9</v>
      </c>
      <c r="I7" s="4">
        <v>3.0</v>
      </c>
      <c r="J7" s="4">
        <v>5515.0</v>
      </c>
      <c r="K7" s="4" t="s">
        <v>97</v>
      </c>
      <c r="L7" s="4">
        <v>900.85</v>
      </c>
    </row>
    <row r="8" ht="15.75" customHeight="1">
      <c r="A8" s="4">
        <v>5408.0</v>
      </c>
      <c r="B8" s="4" t="s">
        <v>98</v>
      </c>
      <c r="C8" s="4">
        <v>0.01</v>
      </c>
      <c r="D8" s="4">
        <v>2.16</v>
      </c>
      <c r="I8" s="4">
        <v>4.0</v>
      </c>
      <c r="J8" s="4">
        <v>6406.0</v>
      </c>
      <c r="K8" s="4" t="s">
        <v>99</v>
      </c>
      <c r="L8" s="4">
        <v>244.41</v>
      </c>
    </row>
    <row r="9" ht="15.75" customHeight="1">
      <c r="A9" s="4">
        <v>5404.0</v>
      </c>
      <c r="B9" s="4" t="s">
        <v>100</v>
      </c>
      <c r="C9" s="4">
        <v>0.0</v>
      </c>
      <c r="D9" s="4">
        <v>0.64</v>
      </c>
      <c r="I9" s="4">
        <v>5.0</v>
      </c>
      <c r="J9" s="4">
        <v>5903.0</v>
      </c>
      <c r="K9" s="4" t="s">
        <v>101</v>
      </c>
      <c r="L9" s="4">
        <v>179.54</v>
      </c>
    </row>
    <row r="10" ht="15.75" customHeight="1">
      <c r="A10" s="4">
        <v>5406.0</v>
      </c>
      <c r="B10" s="4" t="s">
        <v>102</v>
      </c>
      <c r="C10" s="4">
        <v>0.0</v>
      </c>
      <c r="D10" s="4">
        <v>0.07</v>
      </c>
      <c r="F10" s="4" t="s">
        <v>103</v>
      </c>
      <c r="G10" s="4" t="s">
        <v>104</v>
      </c>
      <c r="I10" s="4">
        <v>6.0</v>
      </c>
      <c r="J10" s="4">
        <v>5509.0</v>
      </c>
      <c r="K10" s="4" t="s">
        <v>105</v>
      </c>
      <c r="L10" s="4">
        <v>180.06</v>
      </c>
    </row>
    <row r="11" ht="15.75" customHeight="1">
      <c r="A11" s="4">
        <v>5403.0</v>
      </c>
      <c r="B11" s="4" t="s">
        <v>106</v>
      </c>
      <c r="C11" s="4">
        <v>0.0</v>
      </c>
      <c r="D11" s="4">
        <v>0.05</v>
      </c>
      <c r="F11" s="4">
        <f>SUM(D5:D11)</f>
        <v>189.53</v>
      </c>
      <c r="G11" s="4">
        <f>SUM(D16:D19)</f>
        <v>0.48</v>
      </c>
      <c r="I11" s="4">
        <v>7.0</v>
      </c>
      <c r="J11" s="4">
        <v>5407.0</v>
      </c>
      <c r="K11" s="4" t="s">
        <v>92</v>
      </c>
      <c r="L11" s="4">
        <v>137.44</v>
      </c>
    </row>
    <row r="12" ht="15.75" customHeight="1">
      <c r="F12" s="4">
        <f>SUM(D25:D35)</f>
        <v>1199.42</v>
      </c>
      <c r="I12" s="4">
        <v>8.0</v>
      </c>
      <c r="J12" s="4">
        <v>5806.0</v>
      </c>
      <c r="K12" s="4" t="s">
        <v>107</v>
      </c>
      <c r="L12" s="4">
        <v>124.83</v>
      </c>
    </row>
    <row r="13" ht="15.75" customHeight="1">
      <c r="A13" s="4" t="s">
        <v>108</v>
      </c>
      <c r="B13" s="6"/>
      <c r="C13" s="6"/>
      <c r="D13" s="6"/>
      <c r="E13" s="6"/>
      <c r="F13" s="4">
        <f>SUM(D53:D63)</f>
        <v>262.22</v>
      </c>
      <c r="I13" s="4">
        <v>9.0</v>
      </c>
      <c r="J13" s="4">
        <v>6309.0</v>
      </c>
      <c r="K13" s="4" t="s">
        <v>109</v>
      </c>
      <c r="L13" s="4">
        <v>48.62</v>
      </c>
    </row>
    <row r="14" ht="15.75" customHeight="1">
      <c r="F14" s="4">
        <f>SUM(D78:D86)</f>
        <v>105.48</v>
      </c>
      <c r="I14" s="4">
        <v>10.0</v>
      </c>
      <c r="J14" s="10">
        <v>5508.0</v>
      </c>
      <c r="K14" s="10" t="s">
        <v>110</v>
      </c>
      <c r="L14" s="10">
        <v>45.91</v>
      </c>
    </row>
    <row r="15" ht="15.75" customHeight="1">
      <c r="A15" s="4" t="s">
        <v>32</v>
      </c>
      <c r="B15" s="4" t="s">
        <v>33</v>
      </c>
      <c r="C15" s="4" t="s">
        <v>34</v>
      </c>
      <c r="D15" s="4" t="s">
        <v>35</v>
      </c>
      <c r="F15" s="4">
        <f>SUM(D103:D113)</f>
        <v>221.9</v>
      </c>
      <c r="I15" s="4">
        <v>11.0</v>
      </c>
      <c r="J15" s="4">
        <v>5607.0</v>
      </c>
      <c r="K15" s="4" t="s">
        <v>111</v>
      </c>
      <c r="L15" s="4">
        <v>43.09</v>
      </c>
    </row>
    <row r="16" ht="15.75" customHeight="1">
      <c r="A16" s="4">
        <v>5407.0</v>
      </c>
      <c r="B16" s="4" t="s">
        <v>92</v>
      </c>
      <c r="C16" s="4">
        <v>0.0</v>
      </c>
      <c r="D16" s="4">
        <v>0.23</v>
      </c>
      <c r="F16" s="8">
        <f>SUM(D128:D133)</f>
        <v>2891.2</v>
      </c>
      <c r="I16" s="4">
        <v>12.0</v>
      </c>
      <c r="J16" s="4">
        <v>5807.0</v>
      </c>
      <c r="K16" s="4" t="s">
        <v>112</v>
      </c>
      <c r="L16" s="4">
        <v>94.25</v>
      </c>
    </row>
    <row r="17" ht="15.75" customHeight="1">
      <c r="A17" s="4">
        <v>5401.0</v>
      </c>
      <c r="B17" s="4" t="s">
        <v>94</v>
      </c>
      <c r="C17" s="4">
        <v>0.0</v>
      </c>
      <c r="D17" s="4">
        <v>0.15</v>
      </c>
      <c r="F17" s="4">
        <f>SUM(D149:D159)</f>
        <v>32.31</v>
      </c>
      <c r="I17" s="4">
        <v>13.0</v>
      </c>
      <c r="J17" s="4">
        <v>5906.0</v>
      </c>
      <c r="K17" s="4" t="s">
        <v>113</v>
      </c>
      <c r="L17" s="4">
        <v>13.7</v>
      </c>
    </row>
    <row r="18" ht="15.75" customHeight="1">
      <c r="A18" s="4">
        <v>5402.0</v>
      </c>
      <c r="B18" s="4" t="s">
        <v>96</v>
      </c>
      <c r="C18" s="4">
        <v>0.0</v>
      </c>
      <c r="D18" s="4">
        <v>0.06</v>
      </c>
      <c r="F18" s="4">
        <f>SUM(D180:D190)</f>
        <v>115.31</v>
      </c>
      <c r="I18" s="4">
        <v>14.0</v>
      </c>
      <c r="J18" s="4">
        <v>5902.0</v>
      </c>
      <c r="K18" s="4" t="s">
        <v>114</v>
      </c>
      <c r="L18" s="4">
        <v>13.41</v>
      </c>
    </row>
    <row r="19" ht="15.75" customHeight="1">
      <c r="A19" s="4">
        <v>5404.0</v>
      </c>
      <c r="B19" s="4" t="s">
        <v>100</v>
      </c>
      <c r="C19" s="4">
        <v>0.0</v>
      </c>
      <c r="D19" s="4">
        <v>0.04</v>
      </c>
      <c r="F19" s="4">
        <f>SUM(D212:D221)</f>
        <v>114.51</v>
      </c>
      <c r="I19" s="4">
        <v>15.0</v>
      </c>
      <c r="J19" s="4">
        <v>5603.0</v>
      </c>
      <c r="K19" s="4" t="s">
        <v>115</v>
      </c>
      <c r="L19" s="4">
        <v>26.36</v>
      </c>
    </row>
    <row r="20" ht="15.75" customHeight="1">
      <c r="F20" s="4">
        <f>SUM(D240:D245)</f>
        <v>261.18</v>
      </c>
      <c r="I20" s="4">
        <v>16.0</v>
      </c>
      <c r="J20" s="4">
        <v>5510.0</v>
      </c>
      <c r="K20" s="4" t="s">
        <v>116</v>
      </c>
      <c r="L20" s="4">
        <v>26.01</v>
      </c>
    </row>
    <row r="21" ht="15.75" customHeight="1">
      <c r="F21" s="4">
        <f>SUM(D261:D265)</f>
        <v>3.04</v>
      </c>
      <c r="I21" s="4">
        <v>17.0</v>
      </c>
      <c r="J21" s="4">
        <v>5401.0</v>
      </c>
      <c r="K21" s="4" t="s">
        <v>94</v>
      </c>
      <c r="L21" s="4">
        <v>27.27</v>
      </c>
    </row>
    <row r="22" ht="15.75" customHeight="1">
      <c r="A22" s="4" t="s">
        <v>117</v>
      </c>
      <c r="I22" s="4">
        <v>18.0</v>
      </c>
      <c r="J22" s="4">
        <v>5804.0</v>
      </c>
      <c r="K22" s="4" t="s">
        <v>118</v>
      </c>
      <c r="L22" s="4">
        <v>27.69</v>
      </c>
      <c r="M22" s="8"/>
    </row>
    <row r="23" ht="15.75" customHeight="1">
      <c r="F23" s="19">
        <f>SUM(F11:F21)</f>
        <v>5396.1</v>
      </c>
      <c r="I23" s="4">
        <v>19.0</v>
      </c>
      <c r="J23" s="4">
        <v>6305.0</v>
      </c>
      <c r="K23" s="4" t="s">
        <v>119</v>
      </c>
      <c r="L23" s="4">
        <v>24.12</v>
      </c>
    </row>
    <row r="24" ht="15.75" customHeight="1">
      <c r="A24" s="4" t="s">
        <v>32</v>
      </c>
      <c r="B24" s="4" t="s">
        <v>33</v>
      </c>
      <c r="C24" s="4" t="s">
        <v>34</v>
      </c>
      <c r="D24" s="4" t="s">
        <v>35</v>
      </c>
      <c r="I24" s="4">
        <v>20.0</v>
      </c>
      <c r="J24" s="10">
        <v>5402.0</v>
      </c>
      <c r="K24" s="10" t="s">
        <v>96</v>
      </c>
      <c r="L24" s="10">
        <v>21.9</v>
      </c>
    </row>
    <row r="25" ht="15.75" customHeight="1">
      <c r="A25" s="6">
        <v>5515.0</v>
      </c>
      <c r="B25" s="6" t="s">
        <v>97</v>
      </c>
      <c r="C25" s="6">
        <v>3.01</v>
      </c>
      <c r="D25" s="6">
        <v>900.85</v>
      </c>
      <c r="E25" s="6"/>
      <c r="F25" s="8"/>
      <c r="L25" s="8"/>
    </row>
    <row r="26" ht="15.75" customHeight="1">
      <c r="A26" s="4">
        <v>5509.0</v>
      </c>
      <c r="B26" s="4" t="s">
        <v>105</v>
      </c>
      <c r="C26" s="4">
        <v>0.6</v>
      </c>
      <c r="D26" s="4">
        <v>180.06</v>
      </c>
      <c r="L26" s="20">
        <f>SUM(L5:L24)</f>
        <v>4982.72</v>
      </c>
    </row>
    <row r="27" ht="15.75" customHeight="1">
      <c r="A27" s="4">
        <v>5508.0</v>
      </c>
      <c r="B27" s="4" t="s">
        <v>110</v>
      </c>
      <c r="C27" s="4">
        <v>0.15</v>
      </c>
      <c r="D27" s="4">
        <v>45.91</v>
      </c>
      <c r="I27" s="4" t="s">
        <v>120</v>
      </c>
    </row>
    <row r="28" ht="15.75" customHeight="1">
      <c r="A28" s="4">
        <v>5510.0</v>
      </c>
      <c r="B28" s="4" t="s">
        <v>116</v>
      </c>
      <c r="C28" s="4">
        <v>0.09</v>
      </c>
      <c r="D28" s="4">
        <v>26.01</v>
      </c>
      <c r="J28" s="4" t="s">
        <v>121</v>
      </c>
    </row>
    <row r="29" ht="15.75" customHeight="1">
      <c r="A29" s="4">
        <v>5513.0</v>
      </c>
      <c r="B29" s="4" t="s">
        <v>122</v>
      </c>
      <c r="C29" s="4">
        <v>0.07</v>
      </c>
      <c r="D29" s="4">
        <v>19.76</v>
      </c>
      <c r="I29" s="4" t="s">
        <v>54</v>
      </c>
      <c r="J29" s="10" t="s">
        <v>32</v>
      </c>
      <c r="K29" s="10" t="s">
        <v>33</v>
      </c>
      <c r="L29" s="10" t="s">
        <v>35</v>
      </c>
    </row>
    <row r="30" ht="15.75" customHeight="1">
      <c r="A30" s="4">
        <v>5512.0</v>
      </c>
      <c r="B30" s="4" t="s">
        <v>123</v>
      </c>
      <c r="C30" s="4">
        <v>0.04</v>
      </c>
      <c r="D30" s="4">
        <v>11.85</v>
      </c>
      <c r="I30" s="4">
        <v>1.0</v>
      </c>
      <c r="J30" s="4">
        <v>6110.0</v>
      </c>
      <c r="K30" s="4" t="s">
        <v>124</v>
      </c>
      <c r="L30" s="8">
        <v>1567.75</v>
      </c>
    </row>
    <row r="31" ht="15.75" customHeight="1">
      <c r="A31" s="4">
        <v>5514.0</v>
      </c>
      <c r="B31" s="4" t="s">
        <v>125</v>
      </c>
      <c r="C31" s="4">
        <v>0.03</v>
      </c>
      <c r="D31" s="4">
        <v>10.01</v>
      </c>
      <c r="I31" s="4">
        <v>2.0</v>
      </c>
      <c r="J31" s="4">
        <v>6104.0</v>
      </c>
      <c r="K31" s="4" t="s">
        <v>126</v>
      </c>
      <c r="L31" s="8">
        <v>1236.5</v>
      </c>
    </row>
    <row r="32" ht="15.75" customHeight="1">
      <c r="A32" s="4">
        <v>5503.0</v>
      </c>
      <c r="B32" s="4" t="s">
        <v>127</v>
      </c>
      <c r="C32" s="4">
        <v>0.01</v>
      </c>
      <c r="D32" s="4">
        <v>2.94</v>
      </c>
      <c r="I32" s="4">
        <v>3.0</v>
      </c>
      <c r="J32" s="4">
        <v>6204.0</v>
      </c>
      <c r="K32" s="4" t="s">
        <v>128</v>
      </c>
      <c r="L32" s="4">
        <v>940.46</v>
      </c>
    </row>
    <row r="33" ht="15.75" customHeight="1">
      <c r="A33" s="4">
        <v>5511.0</v>
      </c>
      <c r="B33" s="4" t="s">
        <v>129</v>
      </c>
      <c r="C33" s="4">
        <v>0.0</v>
      </c>
      <c r="D33" s="4">
        <v>0.95</v>
      </c>
      <c r="I33" s="4">
        <v>4.0</v>
      </c>
      <c r="J33" s="4">
        <v>6109.0</v>
      </c>
      <c r="K33" s="4" t="s">
        <v>130</v>
      </c>
      <c r="L33" s="4">
        <v>849.4</v>
      </c>
    </row>
    <row r="34" ht="15.75" customHeight="1">
      <c r="A34" s="4">
        <v>5504.0</v>
      </c>
      <c r="B34" s="4" t="s">
        <v>131</v>
      </c>
      <c r="C34" s="4">
        <v>0.0</v>
      </c>
      <c r="D34" s="4">
        <v>0.68</v>
      </c>
      <c r="I34" s="4">
        <v>5.0</v>
      </c>
      <c r="J34" s="4">
        <v>6103.0</v>
      </c>
      <c r="K34" s="4" t="s">
        <v>132</v>
      </c>
      <c r="L34" s="4">
        <v>646.0</v>
      </c>
    </row>
    <row r="35" ht="15.75" customHeight="1">
      <c r="A35" s="4">
        <v>5502.0</v>
      </c>
      <c r="B35" s="4" t="s">
        <v>133</v>
      </c>
      <c r="C35" s="4">
        <v>0.0</v>
      </c>
      <c r="D35" s="4">
        <v>0.4</v>
      </c>
      <c r="I35" s="4">
        <v>6.0</v>
      </c>
      <c r="J35" s="4">
        <v>6404.0</v>
      </c>
      <c r="K35" s="4" t="s">
        <v>134</v>
      </c>
      <c r="L35" s="4">
        <v>640.34</v>
      </c>
    </row>
    <row r="36" ht="15.75" customHeight="1">
      <c r="I36" s="4">
        <v>7.0</v>
      </c>
      <c r="J36" s="4">
        <v>6402.0</v>
      </c>
      <c r="K36" s="4" t="s">
        <v>135</v>
      </c>
      <c r="L36" s="4">
        <v>477.43</v>
      </c>
    </row>
    <row r="37" ht="15.75" customHeight="1">
      <c r="A37" s="4" t="s">
        <v>136</v>
      </c>
      <c r="I37" s="4">
        <v>8.0</v>
      </c>
      <c r="J37" s="4">
        <v>6108.0</v>
      </c>
      <c r="K37" s="4" t="s">
        <v>137</v>
      </c>
      <c r="L37" s="4">
        <v>433.14</v>
      </c>
    </row>
    <row r="38" ht="15.75" customHeight="1">
      <c r="A38" s="6"/>
      <c r="B38" s="6"/>
      <c r="C38" s="6"/>
      <c r="D38" s="6"/>
      <c r="E38" s="6"/>
      <c r="I38" s="4">
        <v>9.0</v>
      </c>
      <c r="J38" s="4">
        <v>6111.0</v>
      </c>
      <c r="K38" s="4" t="s">
        <v>138</v>
      </c>
      <c r="L38" s="4">
        <v>381.64</v>
      </c>
    </row>
    <row r="39" ht="15.75" customHeight="1">
      <c r="A39" s="4" t="s">
        <v>32</v>
      </c>
      <c r="B39" s="4" t="s">
        <v>33</v>
      </c>
      <c r="C39" s="4" t="s">
        <v>34</v>
      </c>
      <c r="D39" s="4" t="s">
        <v>35</v>
      </c>
      <c r="I39" s="10">
        <v>10.0</v>
      </c>
      <c r="J39" s="10">
        <v>6107.0</v>
      </c>
      <c r="K39" s="10" t="s">
        <v>139</v>
      </c>
      <c r="L39" s="10">
        <v>253.07</v>
      </c>
    </row>
    <row r="40" ht="15.75" customHeight="1">
      <c r="A40" s="4">
        <v>5515.0</v>
      </c>
      <c r="B40" s="4" t="s">
        <v>97</v>
      </c>
      <c r="C40" s="4">
        <v>0.02</v>
      </c>
      <c r="D40" s="4">
        <v>4.17</v>
      </c>
      <c r="I40" s="4">
        <v>11.0</v>
      </c>
      <c r="J40" s="4">
        <v>6112.0</v>
      </c>
      <c r="K40" s="4" t="s">
        <v>140</v>
      </c>
      <c r="L40" s="4">
        <v>191.93</v>
      </c>
    </row>
    <row r="41" ht="15.75" customHeight="1">
      <c r="A41" s="4">
        <v>5503.0</v>
      </c>
      <c r="B41" s="4" t="s">
        <v>127</v>
      </c>
      <c r="C41" s="4">
        <v>0.01</v>
      </c>
      <c r="D41" s="4">
        <v>2.92</v>
      </c>
      <c r="I41" s="4">
        <v>12.0</v>
      </c>
      <c r="J41" s="4">
        <v>6101.0</v>
      </c>
      <c r="K41" s="4" t="s">
        <v>141</v>
      </c>
      <c r="L41" s="4">
        <v>180.13</v>
      </c>
    </row>
    <row r="42" ht="15.75" customHeight="1">
      <c r="A42" s="4">
        <v>5509.0</v>
      </c>
      <c r="B42" s="4" t="s">
        <v>105</v>
      </c>
      <c r="C42" s="4">
        <v>0.01</v>
      </c>
      <c r="D42" s="4">
        <v>2.52</v>
      </c>
      <c r="I42" s="4">
        <v>13.0</v>
      </c>
      <c r="J42" s="4">
        <v>6205.0</v>
      </c>
      <c r="K42" s="4" t="s">
        <v>142</v>
      </c>
      <c r="L42" s="4">
        <v>172.07</v>
      </c>
    </row>
    <row r="43" ht="15.75" customHeight="1">
      <c r="A43" s="4">
        <v>5508.0</v>
      </c>
      <c r="B43" s="4" t="s">
        <v>110</v>
      </c>
      <c r="C43" s="4">
        <v>0.0</v>
      </c>
      <c r="D43" s="4">
        <v>0.75</v>
      </c>
      <c r="I43" s="4">
        <v>14.0</v>
      </c>
      <c r="J43" s="4">
        <v>6201.0</v>
      </c>
      <c r="K43" s="4" t="s">
        <v>143</v>
      </c>
      <c r="L43" s="4">
        <v>170.38</v>
      </c>
    </row>
    <row r="44" ht="15.75" customHeight="1">
      <c r="A44" s="4">
        <v>5513.0</v>
      </c>
      <c r="B44" s="4" t="s">
        <v>122</v>
      </c>
      <c r="C44" s="4">
        <v>0.0</v>
      </c>
      <c r="D44" s="4">
        <v>0.03</v>
      </c>
      <c r="I44" s="4">
        <v>15.0</v>
      </c>
      <c r="J44" s="4">
        <v>6102.0</v>
      </c>
      <c r="K44" s="4" t="s">
        <v>144</v>
      </c>
      <c r="L44" s="4">
        <v>142.84</v>
      </c>
    </row>
    <row r="45" ht="15.75" customHeight="1">
      <c r="A45" s="4">
        <v>5502.0</v>
      </c>
      <c r="B45" s="4" t="s">
        <v>133</v>
      </c>
      <c r="C45" s="4">
        <v>0.0</v>
      </c>
      <c r="D45" s="4">
        <v>0.02</v>
      </c>
      <c r="I45" s="4">
        <v>16.0</v>
      </c>
      <c r="J45" s="4">
        <v>6206.0</v>
      </c>
      <c r="K45" s="4" t="s">
        <v>145</v>
      </c>
      <c r="L45" s="4">
        <v>126.2</v>
      </c>
    </row>
    <row r="46" ht="15.75" customHeight="1">
      <c r="A46" s="4">
        <v>5514.0</v>
      </c>
      <c r="B46" s="4" t="s">
        <v>125</v>
      </c>
      <c r="C46" s="4">
        <v>0.0</v>
      </c>
      <c r="D46" s="4">
        <v>0.0</v>
      </c>
      <c r="I46" s="4">
        <v>17.0</v>
      </c>
      <c r="J46" s="4">
        <v>6210.0</v>
      </c>
      <c r="K46" s="4" t="s">
        <v>146</v>
      </c>
      <c r="L46" s="4">
        <v>132.96</v>
      </c>
    </row>
    <row r="47" ht="15.75" customHeight="1">
      <c r="A47" s="4">
        <v>5506.0</v>
      </c>
      <c r="B47" s="4" t="s">
        <v>147</v>
      </c>
      <c r="C47" s="4">
        <v>0.0</v>
      </c>
      <c r="D47" s="4">
        <v>0.0</v>
      </c>
      <c r="I47" s="4">
        <v>18.0</v>
      </c>
      <c r="J47" s="4">
        <v>6212.0</v>
      </c>
      <c r="K47" s="4" t="s">
        <v>148</v>
      </c>
      <c r="L47" s="4">
        <v>104.35</v>
      </c>
    </row>
    <row r="48" ht="15.75" customHeight="1">
      <c r="I48" s="4">
        <v>19.0</v>
      </c>
      <c r="J48" s="4">
        <v>6202.0</v>
      </c>
      <c r="K48" s="4" t="s">
        <v>149</v>
      </c>
      <c r="L48" s="4">
        <v>97.09</v>
      </c>
    </row>
    <row r="49" ht="15.75" customHeight="1">
      <c r="J49" s="4">
        <v>5807.0</v>
      </c>
      <c r="K49" s="4" t="s">
        <v>150</v>
      </c>
      <c r="L49" s="4">
        <v>94.25</v>
      </c>
    </row>
    <row r="50" ht="15.75" customHeight="1">
      <c r="A50" s="4" t="s">
        <v>151</v>
      </c>
    </row>
    <row r="51" ht="15.75" customHeight="1">
      <c r="L51" s="8">
        <f>SUM(L30:L49)</f>
        <v>8837.93</v>
      </c>
    </row>
    <row r="52" ht="15.75" customHeight="1">
      <c r="A52" s="4" t="s">
        <v>32</v>
      </c>
      <c r="B52" s="4" t="s">
        <v>33</v>
      </c>
      <c r="C52" s="4" t="s">
        <v>34</v>
      </c>
      <c r="D52" s="4" t="s">
        <v>35</v>
      </c>
    </row>
    <row r="53" ht="15.75" customHeight="1">
      <c r="A53" s="6">
        <v>5806.0</v>
      </c>
      <c r="B53" s="6" t="s">
        <v>107</v>
      </c>
      <c r="C53" s="6">
        <v>0.42</v>
      </c>
      <c r="D53" s="6">
        <v>124.83</v>
      </c>
      <c r="E53" s="6"/>
    </row>
    <row r="54" ht="15.75" customHeight="1">
      <c r="A54" s="4">
        <v>5807.0</v>
      </c>
      <c r="B54" s="4" t="s">
        <v>150</v>
      </c>
      <c r="C54" s="4">
        <v>0.31</v>
      </c>
      <c r="D54" s="4">
        <v>94.25</v>
      </c>
      <c r="E54" s="8"/>
    </row>
    <row r="55" ht="15.75" customHeight="1">
      <c r="A55" s="4">
        <v>5804.0</v>
      </c>
      <c r="B55" s="4" t="s">
        <v>152</v>
      </c>
      <c r="C55" s="4">
        <v>0.09</v>
      </c>
      <c r="D55" s="4">
        <v>27.69</v>
      </c>
      <c r="E55" s="8"/>
    </row>
    <row r="56" ht="15.75" customHeight="1">
      <c r="A56" s="4">
        <v>5808.0</v>
      </c>
      <c r="B56" s="4" t="s">
        <v>153</v>
      </c>
      <c r="C56" s="4">
        <v>0.02</v>
      </c>
      <c r="D56" s="4">
        <v>4.57</v>
      </c>
      <c r="E56" s="8"/>
    </row>
    <row r="57" ht="15.75" customHeight="1">
      <c r="A57" s="4">
        <v>5802.0</v>
      </c>
      <c r="B57" s="4" t="s">
        <v>154</v>
      </c>
      <c r="C57" s="4">
        <v>0.01</v>
      </c>
      <c r="D57" s="4">
        <v>3.93</v>
      </c>
    </row>
    <row r="58" ht="15.75" customHeight="1">
      <c r="A58" s="4">
        <v>5810.0</v>
      </c>
      <c r="B58" s="4" t="s">
        <v>155</v>
      </c>
      <c r="C58" s="4">
        <v>0.01</v>
      </c>
      <c r="D58" s="4">
        <v>3.11</v>
      </c>
    </row>
    <row r="59" ht="15.75" customHeight="1">
      <c r="A59" s="4">
        <v>5801.0</v>
      </c>
      <c r="B59" s="4" t="s">
        <v>156</v>
      </c>
      <c r="C59" s="4">
        <v>0.01</v>
      </c>
      <c r="D59" s="4">
        <v>1.94</v>
      </c>
    </row>
    <row r="60" ht="15.75" customHeight="1">
      <c r="A60" s="4">
        <v>5809.0</v>
      </c>
      <c r="B60" s="4" t="s">
        <v>157</v>
      </c>
      <c r="C60" s="4">
        <v>0.0</v>
      </c>
      <c r="D60" s="4">
        <v>1.03</v>
      </c>
    </row>
    <row r="61" ht="15.75" customHeight="1">
      <c r="A61" s="4">
        <v>5811.0</v>
      </c>
      <c r="B61" s="4" t="s">
        <v>158</v>
      </c>
      <c r="C61" s="4">
        <v>0.0</v>
      </c>
      <c r="D61" s="4">
        <v>0.8</v>
      </c>
    </row>
    <row r="62" ht="15.75" customHeight="1">
      <c r="A62" s="4">
        <v>5803.0</v>
      </c>
      <c r="B62" s="4" t="s">
        <v>159</v>
      </c>
      <c r="C62" s="4">
        <v>0.0</v>
      </c>
      <c r="D62" s="4">
        <v>0.07</v>
      </c>
    </row>
    <row r="63" ht="15.75" customHeight="1">
      <c r="A63" s="4">
        <v>5805.0</v>
      </c>
      <c r="B63" s="4" t="s">
        <v>160</v>
      </c>
      <c r="C63" s="4">
        <v>0.0</v>
      </c>
      <c r="D63" s="4">
        <v>0.0</v>
      </c>
    </row>
    <row r="64" ht="15.75" customHeight="1"/>
    <row r="65" ht="15.75" customHeight="1">
      <c r="A65" s="4" t="s">
        <v>161</v>
      </c>
    </row>
    <row r="66" ht="15.75" customHeight="1"/>
    <row r="67" ht="15.75" customHeight="1">
      <c r="A67" s="4" t="s">
        <v>32</v>
      </c>
      <c r="B67" s="4" t="s">
        <v>33</v>
      </c>
      <c r="C67" s="4" t="s">
        <v>34</v>
      </c>
      <c r="D67" s="4" t="s">
        <v>35</v>
      </c>
    </row>
    <row r="68" ht="15.75" customHeight="1">
      <c r="A68" s="6">
        <v>5810.0</v>
      </c>
      <c r="B68" s="6" t="s">
        <v>155</v>
      </c>
      <c r="C68" s="6">
        <v>0.01</v>
      </c>
      <c r="D68" s="6">
        <v>1.07</v>
      </c>
      <c r="E68" s="6"/>
    </row>
    <row r="69" ht="15.75" customHeight="1">
      <c r="A69" s="4">
        <v>5806.0</v>
      </c>
      <c r="B69" s="4" t="s">
        <v>107</v>
      </c>
      <c r="C69" s="4">
        <v>0.0</v>
      </c>
      <c r="D69" s="4">
        <v>0.93</v>
      </c>
    </row>
    <row r="70" ht="15.75" customHeight="1">
      <c r="A70" s="4">
        <v>5807.0</v>
      </c>
      <c r="B70" s="4" t="s">
        <v>150</v>
      </c>
      <c r="C70" s="4">
        <v>0.0</v>
      </c>
      <c r="D70" s="4">
        <v>0.45</v>
      </c>
    </row>
    <row r="71" ht="15.75" customHeight="1">
      <c r="A71" s="4">
        <v>5804.0</v>
      </c>
      <c r="B71" s="4" t="s">
        <v>152</v>
      </c>
      <c r="C71" s="4">
        <v>0.0</v>
      </c>
      <c r="D71" s="4">
        <v>0.1</v>
      </c>
    </row>
    <row r="72" ht="15.75" customHeight="1">
      <c r="A72" s="4">
        <v>5808.0</v>
      </c>
      <c r="B72" s="4" t="s">
        <v>153</v>
      </c>
      <c r="C72" s="4">
        <v>0.0</v>
      </c>
      <c r="D72" s="4">
        <v>0.06</v>
      </c>
    </row>
    <row r="73" ht="15.75" customHeight="1"/>
    <row r="74" ht="15.75" customHeight="1"/>
    <row r="75" ht="15.75" customHeight="1">
      <c r="A75" s="4" t="s">
        <v>162</v>
      </c>
    </row>
    <row r="76" ht="15.75" customHeight="1"/>
    <row r="77" ht="15.75" customHeight="1">
      <c r="A77" s="4" t="s">
        <v>32</v>
      </c>
      <c r="B77" s="4" t="s">
        <v>33</v>
      </c>
      <c r="C77" s="4" t="s">
        <v>34</v>
      </c>
      <c r="D77" s="4" t="s">
        <v>35</v>
      </c>
    </row>
    <row r="78" ht="15.75" customHeight="1">
      <c r="A78" s="4">
        <v>5607.0</v>
      </c>
      <c r="B78" s="4" t="s">
        <v>163</v>
      </c>
      <c r="C78" s="4">
        <v>0.14</v>
      </c>
      <c r="D78" s="4">
        <v>43.09</v>
      </c>
    </row>
    <row r="79" ht="15.75" customHeight="1">
      <c r="A79" s="4">
        <v>5603.0</v>
      </c>
      <c r="B79" s="4" t="s">
        <v>115</v>
      </c>
      <c r="C79" s="4">
        <v>0.09</v>
      </c>
      <c r="D79" s="4">
        <v>26.36</v>
      </c>
    </row>
    <row r="80" ht="15.75" customHeight="1">
      <c r="A80" s="4">
        <v>5604.0</v>
      </c>
      <c r="B80" s="4" t="s">
        <v>164</v>
      </c>
      <c r="C80" s="4">
        <v>0.05</v>
      </c>
      <c r="D80" s="4">
        <v>14.39</v>
      </c>
    </row>
    <row r="81" ht="15.75" customHeight="1">
      <c r="A81" s="6">
        <v>5601.0</v>
      </c>
      <c r="B81" s="6" t="s">
        <v>165</v>
      </c>
      <c r="C81" s="6">
        <v>0.03</v>
      </c>
      <c r="D81" s="6">
        <v>9.58</v>
      </c>
      <c r="E81" s="6"/>
    </row>
    <row r="82" ht="15.75" customHeight="1">
      <c r="A82" s="4">
        <v>5606.0</v>
      </c>
      <c r="B82" s="4" t="s">
        <v>166</v>
      </c>
      <c r="C82" s="4">
        <v>0.02</v>
      </c>
      <c r="D82" s="4">
        <v>6.22</v>
      </c>
    </row>
    <row r="83" ht="15.75" customHeight="1">
      <c r="A83" s="4">
        <v>5609.0</v>
      </c>
      <c r="B83" s="4" t="s">
        <v>167</v>
      </c>
      <c r="C83" s="4">
        <v>0.01</v>
      </c>
      <c r="D83" s="4">
        <v>3.65</v>
      </c>
    </row>
    <row r="84" ht="15.75" customHeight="1">
      <c r="A84" s="4">
        <v>5602.0</v>
      </c>
      <c r="B84" s="4" t="s">
        <v>168</v>
      </c>
      <c r="C84" s="4">
        <v>0.0</v>
      </c>
      <c r="D84" s="4">
        <v>1.4</v>
      </c>
    </row>
    <row r="85" ht="15.75" customHeight="1">
      <c r="A85" s="4">
        <v>5608.0</v>
      </c>
      <c r="B85" s="4" t="s">
        <v>169</v>
      </c>
      <c r="C85" s="4">
        <v>0.0</v>
      </c>
      <c r="D85" s="4">
        <v>0.67</v>
      </c>
    </row>
    <row r="86" ht="15.75" customHeight="1">
      <c r="A86" s="4">
        <v>5605.0</v>
      </c>
      <c r="B86" s="4" t="s">
        <v>170</v>
      </c>
      <c r="C86" s="4">
        <v>0.0</v>
      </c>
      <c r="D86" s="4">
        <v>0.12</v>
      </c>
    </row>
    <row r="87" ht="15.75" customHeight="1"/>
    <row r="88" ht="15.75" customHeight="1"/>
    <row r="89" ht="15.75" customHeight="1">
      <c r="A89" s="4" t="s">
        <v>171</v>
      </c>
    </row>
    <row r="90" ht="15.75" customHeight="1"/>
    <row r="91" ht="15.75" customHeight="1">
      <c r="A91" s="4" t="s">
        <v>32</v>
      </c>
      <c r="B91" s="4" t="s">
        <v>33</v>
      </c>
      <c r="C91" s="4" t="s">
        <v>34</v>
      </c>
      <c r="D91" s="4" t="s">
        <v>35</v>
      </c>
    </row>
    <row r="92" ht="15.75" customHeight="1">
      <c r="A92" s="4">
        <v>5609.0</v>
      </c>
      <c r="B92" s="4" t="s">
        <v>167</v>
      </c>
      <c r="C92" s="4">
        <v>0.02</v>
      </c>
      <c r="D92" s="4">
        <v>4.26</v>
      </c>
    </row>
    <row r="93" ht="15.75" customHeight="1">
      <c r="A93" s="4">
        <v>5603.0</v>
      </c>
      <c r="B93" s="4" t="s">
        <v>115</v>
      </c>
      <c r="C93" s="4">
        <v>0.0</v>
      </c>
      <c r="D93" s="4">
        <v>0.45</v>
      </c>
    </row>
    <row r="94" ht="15.75" customHeight="1">
      <c r="A94" s="4">
        <v>5608.0</v>
      </c>
      <c r="B94" s="4" t="s">
        <v>169</v>
      </c>
      <c r="C94" s="4">
        <v>0.0</v>
      </c>
      <c r="D94" s="4">
        <v>0.35</v>
      </c>
    </row>
    <row r="95" ht="15.75" customHeight="1">
      <c r="A95" s="4">
        <v>5607.0</v>
      </c>
      <c r="B95" s="4" t="s">
        <v>163</v>
      </c>
      <c r="C95" s="4">
        <v>0.0</v>
      </c>
      <c r="D95" s="4">
        <v>0.12</v>
      </c>
    </row>
    <row r="96" ht="15.75" customHeight="1">
      <c r="A96" s="6">
        <v>5601.0</v>
      </c>
      <c r="B96" s="6" t="s">
        <v>165</v>
      </c>
      <c r="C96" s="6">
        <v>0.0</v>
      </c>
      <c r="D96" s="6">
        <v>0.09</v>
      </c>
      <c r="E96" s="6"/>
    </row>
    <row r="97" ht="15.75" customHeight="1">
      <c r="A97" s="4">
        <v>5604.0</v>
      </c>
      <c r="B97" s="4" t="s">
        <v>164</v>
      </c>
      <c r="C97" s="4">
        <v>0.0</v>
      </c>
      <c r="D97" s="4">
        <v>0.08</v>
      </c>
      <c r="E97" s="8"/>
    </row>
    <row r="98" ht="15.75" customHeight="1">
      <c r="A98" s="4">
        <v>5606.0</v>
      </c>
      <c r="B98" s="4" t="s">
        <v>166</v>
      </c>
      <c r="C98" s="4">
        <v>0.0</v>
      </c>
      <c r="D98" s="4">
        <v>0.0</v>
      </c>
      <c r="E98" s="8"/>
    </row>
    <row r="99" ht="15.75" customHeight="1"/>
    <row r="100" ht="15.75" customHeight="1">
      <c r="A100" s="4" t="s">
        <v>172</v>
      </c>
    </row>
    <row r="101" ht="15.75" customHeight="1"/>
    <row r="102" ht="15.75" customHeight="1">
      <c r="A102" s="4" t="s">
        <v>32</v>
      </c>
      <c r="B102" s="4" t="s">
        <v>33</v>
      </c>
      <c r="C102" s="4" t="s">
        <v>34</v>
      </c>
      <c r="D102" s="4" t="s">
        <v>35</v>
      </c>
    </row>
    <row r="103" ht="15.75" customHeight="1">
      <c r="A103" s="4">
        <v>5903.0</v>
      </c>
      <c r="B103" s="4" t="s">
        <v>101</v>
      </c>
      <c r="C103" s="4">
        <v>0.6</v>
      </c>
      <c r="D103" s="4">
        <v>179.54</v>
      </c>
    </row>
    <row r="104" ht="15.75" customHeight="1">
      <c r="A104" s="4">
        <v>5906.0</v>
      </c>
      <c r="B104" s="4" t="s">
        <v>113</v>
      </c>
      <c r="C104" s="4">
        <v>0.05</v>
      </c>
      <c r="D104" s="4">
        <v>13.7</v>
      </c>
    </row>
    <row r="105" ht="15.75" customHeight="1">
      <c r="A105" s="4">
        <v>5902.0</v>
      </c>
      <c r="B105" s="4" t="s">
        <v>114</v>
      </c>
      <c r="C105" s="4">
        <v>0.04</v>
      </c>
      <c r="D105" s="4">
        <v>13.41</v>
      </c>
    </row>
    <row r="106" ht="15.75" customHeight="1">
      <c r="A106" s="4">
        <v>5901.0</v>
      </c>
      <c r="B106" s="4" t="s">
        <v>173</v>
      </c>
      <c r="C106" s="4">
        <v>0.02</v>
      </c>
      <c r="D106" s="4">
        <v>6.54</v>
      </c>
    </row>
    <row r="107" ht="15.75" customHeight="1">
      <c r="A107" s="4">
        <v>5911.0</v>
      </c>
      <c r="B107" s="4" t="s">
        <v>174</v>
      </c>
      <c r="C107" s="4">
        <v>0.02</v>
      </c>
      <c r="D107" s="4">
        <v>6.26</v>
      </c>
    </row>
    <row r="108" ht="15.75" customHeight="1">
      <c r="A108" s="6">
        <v>5907.0</v>
      </c>
      <c r="B108" s="6" t="s">
        <v>175</v>
      </c>
      <c r="C108" s="6">
        <v>0.01</v>
      </c>
      <c r="D108" s="6">
        <v>2.06</v>
      </c>
      <c r="E108" s="6"/>
    </row>
    <row r="109" ht="15.75" customHeight="1">
      <c r="A109" s="4">
        <v>5905.0</v>
      </c>
      <c r="B109" s="4" t="s">
        <v>176</v>
      </c>
      <c r="C109" s="4">
        <v>0.0</v>
      </c>
      <c r="D109" s="4">
        <v>0.18</v>
      </c>
    </row>
    <row r="110" ht="15.75" customHeight="1">
      <c r="A110" s="4">
        <v>5909.0</v>
      </c>
      <c r="B110" s="4" t="s">
        <v>177</v>
      </c>
      <c r="C110" s="4">
        <v>0.0</v>
      </c>
      <c r="D110" s="4">
        <v>0.11</v>
      </c>
    </row>
    <row r="111" ht="15.75" customHeight="1">
      <c r="A111" s="4">
        <v>5910.0</v>
      </c>
      <c r="B111" s="4" t="s">
        <v>178</v>
      </c>
      <c r="C111" s="4">
        <v>0.0</v>
      </c>
      <c r="D111" s="4">
        <v>0.09</v>
      </c>
    </row>
    <row r="112" ht="15.75" customHeight="1">
      <c r="A112" s="4">
        <v>5908.0</v>
      </c>
      <c r="B112" s="4" t="s">
        <v>179</v>
      </c>
      <c r="C112" s="4">
        <v>0.0</v>
      </c>
      <c r="D112" s="4">
        <v>0.01</v>
      </c>
    </row>
    <row r="113" ht="15.75" customHeight="1">
      <c r="A113" s="4">
        <v>5904.0</v>
      </c>
      <c r="B113" s="4" t="s">
        <v>180</v>
      </c>
      <c r="C113" s="4">
        <v>0.0</v>
      </c>
      <c r="D113" s="4">
        <v>0.0</v>
      </c>
    </row>
    <row r="114" ht="15.75" customHeight="1"/>
    <row r="115" ht="15.75" customHeight="1"/>
    <row r="116" ht="15.75" customHeight="1">
      <c r="A116" s="4" t="s">
        <v>181</v>
      </c>
    </row>
    <row r="117" ht="15.75" customHeight="1"/>
    <row r="118" ht="15.75" customHeight="1">
      <c r="A118" s="4" t="s">
        <v>32</v>
      </c>
      <c r="B118" s="4" t="s">
        <v>33</v>
      </c>
      <c r="C118" s="4" t="s">
        <v>34</v>
      </c>
      <c r="D118" s="4" t="s">
        <v>35</v>
      </c>
    </row>
    <row r="119" ht="15.75" customHeight="1">
      <c r="A119" s="4">
        <v>5901.0</v>
      </c>
      <c r="B119" s="4" t="s">
        <v>173</v>
      </c>
      <c r="C119" s="4">
        <v>0.15</v>
      </c>
      <c r="D119" s="4">
        <v>31.47</v>
      </c>
    </row>
    <row r="120" ht="15.75" customHeight="1">
      <c r="A120" s="4">
        <v>5903.0</v>
      </c>
      <c r="B120" s="4" t="s">
        <v>101</v>
      </c>
      <c r="C120" s="4">
        <v>0.01</v>
      </c>
      <c r="D120" s="4">
        <v>1.4</v>
      </c>
    </row>
    <row r="121" ht="15.75" customHeight="1">
      <c r="A121" s="4">
        <v>5911.0</v>
      </c>
      <c r="B121" s="4" t="s">
        <v>174</v>
      </c>
      <c r="C121" s="4">
        <v>0.0</v>
      </c>
      <c r="D121" s="4">
        <v>0.95</v>
      </c>
    </row>
    <row r="122" ht="15.75" customHeight="1">
      <c r="A122" s="6">
        <v>5906.0</v>
      </c>
      <c r="B122" s="6" t="s">
        <v>113</v>
      </c>
      <c r="C122" s="6">
        <v>0.0</v>
      </c>
      <c r="D122" s="6">
        <v>0.64</v>
      </c>
      <c r="E122" s="6"/>
    </row>
    <row r="123" ht="15.75" customHeight="1">
      <c r="A123" s="4">
        <v>5907.0</v>
      </c>
      <c r="B123" s="4" t="s">
        <v>175</v>
      </c>
      <c r="C123" s="4">
        <v>0.0</v>
      </c>
      <c r="D123" s="4">
        <v>0.06</v>
      </c>
      <c r="E123" s="8"/>
    </row>
    <row r="124" ht="15.75" customHeight="1">
      <c r="E124" s="8"/>
    </row>
    <row r="125" ht="15.75" customHeight="1">
      <c r="A125" s="4" t="s">
        <v>182</v>
      </c>
      <c r="E125" s="8"/>
    </row>
    <row r="126" ht="15.75" customHeight="1"/>
    <row r="127" ht="15.75" customHeight="1">
      <c r="A127" s="4" t="s">
        <v>32</v>
      </c>
      <c r="B127" s="4" t="s">
        <v>33</v>
      </c>
      <c r="C127" s="4" t="s">
        <v>34</v>
      </c>
      <c r="D127" s="4" t="s">
        <v>35</v>
      </c>
    </row>
    <row r="128" ht="15.75" customHeight="1">
      <c r="A128" s="4">
        <v>6006.0</v>
      </c>
      <c r="B128" s="4" t="s">
        <v>93</v>
      </c>
      <c r="C128" s="4">
        <v>6.28</v>
      </c>
      <c r="D128" s="8">
        <v>1878.63</v>
      </c>
    </row>
    <row r="129" ht="15.75" customHeight="1">
      <c r="A129" s="4">
        <v>6004.0</v>
      </c>
      <c r="B129" s="4" t="s">
        <v>95</v>
      </c>
      <c r="C129" s="4">
        <v>3.09</v>
      </c>
      <c r="D129" s="4">
        <v>924.63</v>
      </c>
    </row>
    <row r="130" ht="15.75" customHeight="1">
      <c r="A130" s="6">
        <v>6002.0</v>
      </c>
      <c r="B130" s="6" t="s">
        <v>183</v>
      </c>
      <c r="C130" s="6">
        <v>0.22</v>
      </c>
      <c r="D130" s="6">
        <v>64.46</v>
      </c>
      <c r="E130" s="6"/>
    </row>
    <row r="131" ht="15.75" customHeight="1">
      <c r="A131" s="4">
        <v>6001.0</v>
      </c>
      <c r="B131" s="4" t="s">
        <v>184</v>
      </c>
      <c r="C131" s="4">
        <v>0.03</v>
      </c>
      <c r="D131" s="4">
        <v>9.69</v>
      </c>
    </row>
    <row r="132" ht="15.75" customHeight="1">
      <c r="A132" s="4">
        <v>6005.0</v>
      </c>
      <c r="B132" s="4" t="s">
        <v>185</v>
      </c>
      <c r="C132" s="4">
        <v>0.03</v>
      </c>
      <c r="D132" s="4">
        <v>8.73</v>
      </c>
    </row>
    <row r="133" ht="15.75" customHeight="1">
      <c r="A133" s="4">
        <v>6003.0</v>
      </c>
      <c r="B133" s="4" t="s">
        <v>186</v>
      </c>
      <c r="C133" s="4">
        <v>0.02</v>
      </c>
      <c r="D133" s="4">
        <v>5.06</v>
      </c>
    </row>
    <row r="134" ht="15.75" customHeight="1"/>
    <row r="135" ht="15.75" customHeight="1"/>
    <row r="136" ht="15.75" customHeight="1">
      <c r="A136" s="4" t="s">
        <v>187</v>
      </c>
    </row>
    <row r="137" ht="15.75" customHeight="1"/>
    <row r="138" ht="15.75" customHeight="1">
      <c r="A138" s="4" t="s">
        <v>32</v>
      </c>
      <c r="B138" s="4" t="s">
        <v>33</v>
      </c>
      <c r="C138" s="4" t="s">
        <v>34</v>
      </c>
      <c r="D138" s="4" t="s">
        <v>35</v>
      </c>
    </row>
    <row r="139" ht="15.75" customHeight="1">
      <c r="A139" s="4">
        <v>6006.0</v>
      </c>
      <c r="B139" s="4" t="s">
        <v>93</v>
      </c>
      <c r="C139" s="4">
        <v>0.18</v>
      </c>
      <c r="D139" s="4">
        <v>36.14</v>
      </c>
    </row>
    <row r="140" ht="15.75" customHeight="1">
      <c r="A140" s="6">
        <v>6005.0</v>
      </c>
      <c r="B140" s="6" t="s">
        <v>185</v>
      </c>
      <c r="C140" s="6">
        <v>0.11</v>
      </c>
      <c r="D140" s="6">
        <v>22.24</v>
      </c>
      <c r="E140" s="6"/>
    </row>
    <row r="141" ht="15.75" customHeight="1">
      <c r="A141" s="4">
        <v>6004.0</v>
      </c>
      <c r="B141" s="4" t="s">
        <v>95</v>
      </c>
      <c r="C141" s="4">
        <v>0.03</v>
      </c>
      <c r="D141" s="4">
        <v>7.09</v>
      </c>
    </row>
    <row r="142" ht="15.75" customHeight="1">
      <c r="A142" s="4">
        <v>6002.0</v>
      </c>
      <c r="B142" s="4" t="s">
        <v>183</v>
      </c>
      <c r="C142" s="4">
        <v>0.0</v>
      </c>
      <c r="D142" s="4">
        <v>0.7</v>
      </c>
    </row>
    <row r="143" ht="15.75" customHeight="1">
      <c r="A143" s="4">
        <v>6003.0</v>
      </c>
      <c r="B143" s="4" t="s">
        <v>186</v>
      </c>
      <c r="C143" s="4">
        <v>0.0</v>
      </c>
      <c r="D143" s="4">
        <v>0.2</v>
      </c>
    </row>
    <row r="144" ht="15.75" customHeight="1">
      <c r="A144" s="4">
        <v>6001.0</v>
      </c>
      <c r="B144" s="4" t="s">
        <v>184</v>
      </c>
      <c r="C144" s="4">
        <v>0.0</v>
      </c>
      <c r="D144" s="4">
        <v>0.0</v>
      </c>
    </row>
    <row r="145" ht="15.75" customHeight="1"/>
    <row r="146" ht="15.75" customHeight="1">
      <c r="A146" s="4" t="s">
        <v>188</v>
      </c>
    </row>
    <row r="147" ht="15.75" customHeight="1"/>
    <row r="148" ht="15.75" customHeight="1">
      <c r="A148" s="6" t="s">
        <v>32</v>
      </c>
      <c r="B148" s="6" t="s">
        <v>33</v>
      </c>
      <c r="C148" s="6" t="s">
        <v>34</v>
      </c>
      <c r="D148" s="6" t="s">
        <v>35</v>
      </c>
      <c r="E148" s="6"/>
    </row>
    <row r="149" ht="15.75" customHeight="1">
      <c r="A149" s="4">
        <v>6117.0</v>
      </c>
      <c r="B149" s="4" t="s">
        <v>189</v>
      </c>
      <c r="C149" s="4">
        <v>0.04</v>
      </c>
      <c r="D149" s="4">
        <v>11.22</v>
      </c>
    </row>
    <row r="150" ht="15.75" customHeight="1">
      <c r="A150" s="4">
        <v>6109.0</v>
      </c>
      <c r="B150" s="4" t="s">
        <v>190</v>
      </c>
      <c r="C150" s="4">
        <v>0.02</v>
      </c>
      <c r="D150" s="4">
        <v>5.47</v>
      </c>
    </row>
    <row r="151" ht="15.75" customHeight="1">
      <c r="A151" s="4">
        <v>6101.0</v>
      </c>
      <c r="B151" s="4" t="s">
        <v>191</v>
      </c>
      <c r="C151" s="4">
        <v>0.01</v>
      </c>
      <c r="D151" s="4">
        <v>3.26</v>
      </c>
    </row>
    <row r="152" ht="15.75" customHeight="1">
      <c r="A152" s="4">
        <v>6110.0</v>
      </c>
      <c r="B152" s="4" t="s">
        <v>192</v>
      </c>
      <c r="C152" s="4">
        <v>0.01</v>
      </c>
      <c r="D152" s="4">
        <v>3.23</v>
      </c>
    </row>
    <row r="153" ht="15.75" customHeight="1">
      <c r="A153" s="4">
        <v>6104.0</v>
      </c>
      <c r="B153" s="4" t="s">
        <v>193</v>
      </c>
      <c r="C153" s="4">
        <v>0.01</v>
      </c>
      <c r="D153" s="4">
        <v>2.5</v>
      </c>
    </row>
    <row r="154" ht="15.75" customHeight="1">
      <c r="A154" s="4">
        <v>6115.0</v>
      </c>
      <c r="B154" s="4" t="s">
        <v>194</v>
      </c>
      <c r="C154" s="4">
        <v>0.0</v>
      </c>
      <c r="D154" s="4">
        <v>1.36</v>
      </c>
    </row>
    <row r="155" ht="15.75" customHeight="1">
      <c r="A155" s="4">
        <v>6105.0</v>
      </c>
      <c r="B155" s="4" t="s">
        <v>195</v>
      </c>
      <c r="C155" s="4">
        <v>0.0</v>
      </c>
      <c r="D155" s="4">
        <v>1.26</v>
      </c>
    </row>
    <row r="156" ht="15.75" customHeight="1">
      <c r="A156" s="4">
        <v>6108.0</v>
      </c>
      <c r="B156" s="4" t="s">
        <v>196</v>
      </c>
      <c r="C156" s="4">
        <v>0.0</v>
      </c>
      <c r="D156" s="4">
        <v>1.12</v>
      </c>
    </row>
    <row r="157" ht="15.75" customHeight="1">
      <c r="A157" s="4">
        <v>6103.0</v>
      </c>
      <c r="B157" s="4" t="s">
        <v>197</v>
      </c>
      <c r="C157" s="4">
        <v>0.0</v>
      </c>
      <c r="D157" s="4">
        <v>1.11</v>
      </c>
    </row>
    <row r="158" ht="15.75" customHeight="1">
      <c r="A158" s="4">
        <v>6114.0</v>
      </c>
      <c r="B158" s="4" t="s">
        <v>198</v>
      </c>
      <c r="C158" s="4">
        <v>0.0</v>
      </c>
      <c r="D158" s="4">
        <v>0.9</v>
      </c>
    </row>
    <row r="159" ht="15.75" customHeight="1">
      <c r="A159" s="4">
        <v>6116.0</v>
      </c>
      <c r="B159" s="4" t="s">
        <v>199</v>
      </c>
      <c r="C159" s="4">
        <v>0.0</v>
      </c>
      <c r="D159" s="4">
        <v>0.88</v>
      </c>
    </row>
    <row r="160" ht="15.75" customHeight="1"/>
    <row r="161" ht="15.75" customHeight="1">
      <c r="A161" s="4" t="s">
        <v>200</v>
      </c>
    </row>
    <row r="162" ht="15.75" customHeight="1"/>
    <row r="163" ht="15.75" customHeight="1">
      <c r="A163" s="4" t="s">
        <v>32</v>
      </c>
      <c r="B163" s="4" t="s">
        <v>33</v>
      </c>
      <c r="C163" s="4" t="s">
        <v>34</v>
      </c>
      <c r="D163" s="4" t="s">
        <v>35</v>
      </c>
    </row>
    <row r="164" ht="15.75" customHeight="1">
      <c r="A164" s="4">
        <v>6110.0</v>
      </c>
      <c r="B164" s="4" t="s">
        <v>192</v>
      </c>
      <c r="C164" s="4">
        <v>7.62</v>
      </c>
      <c r="D164" s="8">
        <v>1567.75</v>
      </c>
    </row>
    <row r="165" ht="15.75" customHeight="1">
      <c r="A165" s="4">
        <v>6104.0</v>
      </c>
      <c r="B165" s="4" t="s">
        <v>193</v>
      </c>
      <c r="C165" s="4">
        <v>6.01</v>
      </c>
      <c r="D165" s="8">
        <v>1236.5</v>
      </c>
    </row>
    <row r="166" ht="15.75" customHeight="1">
      <c r="A166" s="4">
        <v>6109.0</v>
      </c>
      <c r="B166" s="4" t="s">
        <v>190</v>
      </c>
      <c r="C166" s="4">
        <v>4.13</v>
      </c>
      <c r="D166" s="4">
        <v>849.4</v>
      </c>
    </row>
    <row r="167" ht="15.75" customHeight="1">
      <c r="A167" s="4">
        <v>6103.0</v>
      </c>
      <c r="B167" s="4" t="s">
        <v>197</v>
      </c>
      <c r="C167" s="4">
        <v>3.14</v>
      </c>
      <c r="D167" s="4">
        <v>646.0</v>
      </c>
    </row>
    <row r="168" ht="15.75" customHeight="1">
      <c r="A168" s="4">
        <v>6108.0</v>
      </c>
      <c r="B168" s="4" t="s">
        <v>196</v>
      </c>
      <c r="C168" s="4">
        <v>2.11</v>
      </c>
      <c r="D168" s="4">
        <v>433.14</v>
      </c>
    </row>
    <row r="169" ht="15.75" customHeight="1">
      <c r="A169" s="4">
        <v>6111.0</v>
      </c>
      <c r="B169" s="4" t="s">
        <v>138</v>
      </c>
      <c r="C169" s="4">
        <v>1.85</v>
      </c>
      <c r="D169" s="4">
        <v>381.64</v>
      </c>
    </row>
    <row r="170" ht="15.75" customHeight="1">
      <c r="A170" s="4">
        <v>6107.0</v>
      </c>
      <c r="B170" s="4" t="s">
        <v>201</v>
      </c>
      <c r="C170" s="4">
        <v>1.23</v>
      </c>
      <c r="D170" s="4">
        <v>253.07</v>
      </c>
    </row>
    <row r="171" ht="15.75" customHeight="1">
      <c r="A171" s="4">
        <v>6112.0</v>
      </c>
      <c r="B171" s="4" t="s">
        <v>202</v>
      </c>
      <c r="C171" s="4">
        <v>0.93</v>
      </c>
      <c r="D171" s="4">
        <v>191.93</v>
      </c>
    </row>
    <row r="172" ht="15.75" customHeight="1">
      <c r="A172" s="4">
        <v>6101.0</v>
      </c>
      <c r="B172" s="4" t="s">
        <v>191</v>
      </c>
      <c r="C172" s="4">
        <v>0.88</v>
      </c>
      <c r="D172" s="4">
        <v>180.13</v>
      </c>
    </row>
    <row r="173" ht="15.75" customHeight="1">
      <c r="A173" s="4">
        <v>6102.0</v>
      </c>
      <c r="B173" s="4" t="s">
        <v>203</v>
      </c>
      <c r="C173" s="4">
        <v>0.69</v>
      </c>
      <c r="D173" s="4">
        <v>142.84</v>
      </c>
    </row>
    <row r="174" ht="15.75" customHeight="1">
      <c r="A174" s="4">
        <v>6105.0</v>
      </c>
      <c r="B174" s="4" t="s">
        <v>195</v>
      </c>
      <c r="C174" s="4">
        <v>0.68</v>
      </c>
      <c r="D174" s="4">
        <v>139.72</v>
      </c>
    </row>
    <row r="175" ht="15.75" customHeight="1"/>
    <row r="176" ht="15.75" customHeight="1"/>
    <row r="177" ht="15.75" customHeight="1">
      <c r="A177" s="4" t="s">
        <v>204</v>
      </c>
    </row>
    <row r="178" ht="15.75" customHeight="1"/>
    <row r="179" ht="15.75" customHeight="1">
      <c r="A179" s="4" t="s">
        <v>32</v>
      </c>
      <c r="B179" s="4" t="s">
        <v>33</v>
      </c>
      <c r="C179" s="4" t="s">
        <v>34</v>
      </c>
      <c r="D179" s="4" t="s">
        <v>35</v>
      </c>
    </row>
    <row r="180" ht="15.75" customHeight="1">
      <c r="A180" s="4">
        <v>6217.0</v>
      </c>
      <c r="B180" s="4" t="s">
        <v>205</v>
      </c>
      <c r="C180" s="4">
        <v>0.31</v>
      </c>
      <c r="D180" s="4">
        <v>92.0</v>
      </c>
    </row>
    <row r="181" ht="15.75" customHeight="1">
      <c r="A181" s="4">
        <v>6203.0</v>
      </c>
      <c r="B181" s="4" t="s">
        <v>206</v>
      </c>
      <c r="C181" s="4">
        <v>0.02</v>
      </c>
      <c r="D181" s="4">
        <v>5.83</v>
      </c>
    </row>
    <row r="182" ht="15.75" customHeight="1">
      <c r="A182" s="4">
        <v>6204.0</v>
      </c>
      <c r="B182" s="4" t="s">
        <v>207</v>
      </c>
      <c r="C182" s="4">
        <v>0.01</v>
      </c>
      <c r="D182" s="4">
        <v>4.36</v>
      </c>
    </row>
    <row r="183" ht="15.75" customHeight="1">
      <c r="A183" s="4">
        <v>6210.0</v>
      </c>
      <c r="B183" s="4" t="s">
        <v>208</v>
      </c>
      <c r="C183" s="4">
        <v>0.01</v>
      </c>
      <c r="D183" s="4">
        <v>3.7</v>
      </c>
    </row>
    <row r="184" ht="15.75" customHeight="1">
      <c r="A184" s="4">
        <v>6205.0</v>
      </c>
      <c r="B184" s="4" t="s">
        <v>142</v>
      </c>
      <c r="C184" s="4">
        <v>0.01</v>
      </c>
      <c r="D184" s="4">
        <v>3.17</v>
      </c>
    </row>
    <row r="185" ht="15.75" customHeight="1">
      <c r="A185" s="4">
        <v>6212.0</v>
      </c>
      <c r="B185" s="4" t="s">
        <v>209</v>
      </c>
      <c r="C185" s="4">
        <v>0.01</v>
      </c>
      <c r="D185" s="4">
        <v>2.38</v>
      </c>
    </row>
    <row r="186" ht="15.75" customHeight="1">
      <c r="A186" s="4">
        <v>6209.0</v>
      </c>
      <c r="B186" s="4" t="s">
        <v>210</v>
      </c>
      <c r="C186" s="4">
        <v>0.0</v>
      </c>
      <c r="D186" s="4">
        <v>1.11</v>
      </c>
    </row>
    <row r="187" ht="15.75" customHeight="1">
      <c r="A187" s="4">
        <v>6206.0</v>
      </c>
      <c r="B187" s="4" t="s">
        <v>211</v>
      </c>
      <c r="C187" s="4">
        <v>0.0</v>
      </c>
      <c r="D187" s="4">
        <v>0.94</v>
      </c>
    </row>
    <row r="188" ht="15.75" customHeight="1">
      <c r="A188" s="4">
        <v>6211.0</v>
      </c>
      <c r="B188" s="4" t="s">
        <v>212</v>
      </c>
      <c r="C188" s="4">
        <v>0.0</v>
      </c>
      <c r="D188" s="4">
        <v>0.88</v>
      </c>
    </row>
    <row r="189" ht="15.75" customHeight="1">
      <c r="A189" s="4">
        <v>6202.0</v>
      </c>
      <c r="B189" s="4" t="s">
        <v>213</v>
      </c>
      <c r="C189" s="4">
        <v>0.0</v>
      </c>
      <c r="D189" s="4">
        <v>0.48</v>
      </c>
    </row>
    <row r="190" ht="15.75" customHeight="1">
      <c r="A190" s="4">
        <v>6216.0</v>
      </c>
      <c r="B190" s="4" t="s">
        <v>214</v>
      </c>
      <c r="C190" s="4">
        <v>0.0</v>
      </c>
      <c r="D190" s="4">
        <v>0.46</v>
      </c>
    </row>
    <row r="191" ht="15.75" customHeight="1"/>
    <row r="192" ht="15.75" customHeight="1"/>
    <row r="193" ht="15.75" customHeight="1">
      <c r="A193" s="4" t="s">
        <v>215</v>
      </c>
    </row>
    <row r="194" ht="15.75" customHeight="1"/>
    <row r="195" ht="15.75" customHeight="1">
      <c r="A195" s="4" t="s">
        <v>32</v>
      </c>
      <c r="B195" s="4" t="s">
        <v>33</v>
      </c>
      <c r="C195" s="4" t="s">
        <v>34</v>
      </c>
      <c r="D195" s="4" t="s">
        <v>35</v>
      </c>
    </row>
    <row r="196" ht="15.75" customHeight="1">
      <c r="A196" s="4">
        <v>6204.0</v>
      </c>
      <c r="B196" s="4" t="s">
        <v>207</v>
      </c>
      <c r="C196" s="4">
        <v>4.57</v>
      </c>
      <c r="D196" s="4">
        <v>940.46</v>
      </c>
    </row>
    <row r="197" ht="15.75" customHeight="1">
      <c r="A197" s="4">
        <v>6203.0</v>
      </c>
      <c r="B197" s="4" t="s">
        <v>206</v>
      </c>
      <c r="C197" s="4">
        <v>3.32</v>
      </c>
      <c r="D197" s="4">
        <v>683.98</v>
      </c>
    </row>
    <row r="198" ht="15.75" customHeight="1">
      <c r="A198" s="4">
        <v>6205.0</v>
      </c>
      <c r="B198" s="4" t="s">
        <v>142</v>
      </c>
      <c r="C198" s="4">
        <v>0.84</v>
      </c>
      <c r="D198" s="4">
        <v>172.07</v>
      </c>
    </row>
    <row r="199" ht="15.75" customHeight="1">
      <c r="A199" s="4">
        <v>6201.0</v>
      </c>
      <c r="B199" s="4" t="s">
        <v>216</v>
      </c>
      <c r="C199" s="4">
        <v>0.83</v>
      </c>
      <c r="D199" s="4">
        <v>170.38</v>
      </c>
    </row>
    <row r="200" ht="15.75" customHeight="1">
      <c r="A200" s="4">
        <v>6210.0</v>
      </c>
      <c r="B200" s="4" t="s">
        <v>208</v>
      </c>
      <c r="C200" s="4">
        <v>0.65</v>
      </c>
      <c r="D200" s="4">
        <v>132.96</v>
      </c>
    </row>
    <row r="201" ht="15.75" customHeight="1">
      <c r="A201" s="4">
        <v>6206.0</v>
      </c>
      <c r="B201" s="4" t="s">
        <v>211</v>
      </c>
      <c r="C201" s="4">
        <v>0.61</v>
      </c>
      <c r="D201" s="4">
        <v>126.2</v>
      </c>
    </row>
    <row r="202" ht="15.75" customHeight="1">
      <c r="A202" s="4">
        <v>6212.0</v>
      </c>
      <c r="B202" s="4" t="s">
        <v>209</v>
      </c>
      <c r="C202" s="4">
        <v>0.51</v>
      </c>
      <c r="D202" s="4">
        <v>104.35</v>
      </c>
    </row>
    <row r="203" ht="15.75" customHeight="1">
      <c r="A203" s="4">
        <v>6202.0</v>
      </c>
      <c r="B203" s="4" t="s">
        <v>213</v>
      </c>
      <c r="C203" s="4">
        <v>0.47</v>
      </c>
      <c r="D203" s="4">
        <v>97.09</v>
      </c>
    </row>
    <row r="204" ht="15.75" customHeight="1">
      <c r="A204" s="4">
        <v>6211.0</v>
      </c>
      <c r="B204" s="4" t="s">
        <v>212</v>
      </c>
      <c r="C204" s="4">
        <v>0.45</v>
      </c>
      <c r="D204" s="4">
        <v>93.23</v>
      </c>
    </row>
    <row r="205" ht="15.75" customHeight="1">
      <c r="A205" s="4">
        <v>6208.0</v>
      </c>
      <c r="B205" s="4" t="s">
        <v>217</v>
      </c>
      <c r="C205" s="4">
        <v>0.34</v>
      </c>
      <c r="D205" s="4">
        <v>70.16</v>
      </c>
    </row>
    <row r="206" ht="15.75" customHeight="1">
      <c r="A206" s="4">
        <v>6209.0</v>
      </c>
      <c r="B206" s="4" t="s">
        <v>210</v>
      </c>
      <c r="C206" s="4">
        <v>0.15</v>
      </c>
      <c r="D206" s="4">
        <v>31.66</v>
      </c>
    </row>
    <row r="207" ht="15.75" customHeight="1"/>
    <row r="208" ht="15.75" customHeight="1"/>
    <row r="209" ht="15.75" customHeight="1">
      <c r="A209" s="4" t="s">
        <v>218</v>
      </c>
    </row>
    <row r="210" ht="15.75" customHeight="1"/>
    <row r="211" ht="15.75" customHeight="1">
      <c r="A211" s="4" t="s">
        <v>32</v>
      </c>
      <c r="B211" s="4" t="s">
        <v>33</v>
      </c>
      <c r="C211" s="4" t="s">
        <v>34</v>
      </c>
      <c r="D211" s="4" t="s">
        <v>35</v>
      </c>
    </row>
    <row r="212" ht="15.75" customHeight="1">
      <c r="A212" s="4">
        <v>6309.0</v>
      </c>
      <c r="B212" s="4" t="s">
        <v>219</v>
      </c>
      <c r="C212" s="4">
        <v>0.16</v>
      </c>
      <c r="D212" s="4">
        <v>48.62</v>
      </c>
    </row>
    <row r="213" ht="15.75" customHeight="1">
      <c r="A213" s="4">
        <v>6305.0</v>
      </c>
      <c r="B213" s="4" t="s">
        <v>220</v>
      </c>
      <c r="C213" s="4">
        <v>0.08</v>
      </c>
      <c r="D213" s="4">
        <v>24.12</v>
      </c>
    </row>
    <row r="214" ht="15.75" customHeight="1">
      <c r="A214" s="4">
        <v>6307.0</v>
      </c>
      <c r="B214" s="4" t="s">
        <v>221</v>
      </c>
      <c r="C214" s="4">
        <v>0.07</v>
      </c>
      <c r="D214" s="4">
        <v>21.35</v>
      </c>
    </row>
    <row r="215" ht="15.75" customHeight="1">
      <c r="A215" s="4">
        <v>6301.0</v>
      </c>
      <c r="B215" s="4" t="s">
        <v>222</v>
      </c>
      <c r="C215" s="4">
        <v>0.03</v>
      </c>
      <c r="D215" s="4">
        <v>8.43</v>
      </c>
    </row>
    <row r="216" ht="15.75" customHeight="1">
      <c r="A216" s="4">
        <v>6306.0</v>
      </c>
      <c r="B216" s="4" t="s">
        <v>223</v>
      </c>
      <c r="C216" s="4">
        <v>0.02</v>
      </c>
      <c r="D216" s="4">
        <v>4.55</v>
      </c>
    </row>
    <row r="217" ht="15.75" customHeight="1">
      <c r="A217" s="4">
        <v>6302.0</v>
      </c>
      <c r="B217" s="4" t="s">
        <v>224</v>
      </c>
      <c r="C217" s="4">
        <v>0.01</v>
      </c>
      <c r="D217" s="4">
        <v>3.28</v>
      </c>
    </row>
    <row r="218" ht="15.75" customHeight="1">
      <c r="A218" s="4">
        <v>6304.0</v>
      </c>
      <c r="B218" s="4" t="s">
        <v>225</v>
      </c>
      <c r="C218" s="4">
        <v>0.01</v>
      </c>
      <c r="D218" s="4">
        <v>1.9</v>
      </c>
    </row>
    <row r="219" ht="15.75" customHeight="1">
      <c r="A219" s="4">
        <v>6303.0</v>
      </c>
      <c r="B219" s="4" t="s">
        <v>226</v>
      </c>
      <c r="C219" s="4">
        <v>0.01</v>
      </c>
      <c r="D219" s="4">
        <v>1.89</v>
      </c>
    </row>
    <row r="220" ht="15.75" customHeight="1">
      <c r="A220" s="4">
        <v>6310.0</v>
      </c>
      <c r="B220" s="4" t="s">
        <v>227</v>
      </c>
      <c r="C220" s="4">
        <v>0.0</v>
      </c>
      <c r="D220" s="4">
        <v>0.35</v>
      </c>
    </row>
    <row r="221" ht="15.75" customHeight="1">
      <c r="A221" s="4">
        <v>6308.0</v>
      </c>
      <c r="B221" s="4" t="s">
        <v>228</v>
      </c>
      <c r="C221" s="4">
        <v>0.0</v>
      </c>
      <c r="D221" s="4">
        <v>0.02</v>
      </c>
    </row>
    <row r="222" ht="15.75" customHeight="1"/>
    <row r="223" ht="15.75" customHeight="1">
      <c r="A223" s="4" t="s">
        <v>229</v>
      </c>
    </row>
    <row r="224" ht="15.75" customHeight="1"/>
    <row r="225" ht="15.75" customHeight="1">
      <c r="A225" s="4" t="s">
        <v>32</v>
      </c>
      <c r="B225" s="4" t="s">
        <v>33</v>
      </c>
      <c r="C225" s="4" t="s">
        <v>34</v>
      </c>
      <c r="D225" s="4" t="s">
        <v>35</v>
      </c>
    </row>
    <row r="226" ht="15.75" customHeight="1">
      <c r="A226" s="4">
        <v>6307.0</v>
      </c>
      <c r="B226" s="4" t="s">
        <v>221</v>
      </c>
      <c r="C226" s="4">
        <v>0.39</v>
      </c>
      <c r="D226" s="4">
        <v>80.81</v>
      </c>
    </row>
    <row r="227" ht="15.75" customHeight="1">
      <c r="A227" s="4">
        <v>6302.0</v>
      </c>
      <c r="B227" s="4" t="s">
        <v>224</v>
      </c>
      <c r="C227" s="4">
        <v>0.16</v>
      </c>
      <c r="D227" s="4">
        <v>33.5</v>
      </c>
    </row>
    <row r="228" ht="15.75" customHeight="1">
      <c r="A228" s="4">
        <v>6305.0</v>
      </c>
      <c r="B228" s="4" t="s">
        <v>220</v>
      </c>
      <c r="C228" s="4">
        <v>0.1</v>
      </c>
      <c r="D228" s="4">
        <v>20.22</v>
      </c>
    </row>
    <row r="229" ht="15.75" customHeight="1">
      <c r="A229" s="4">
        <v>6306.0</v>
      </c>
      <c r="B229" s="4" t="s">
        <v>223</v>
      </c>
      <c r="C229" s="4">
        <v>0.07</v>
      </c>
      <c r="D229" s="4">
        <v>13.97</v>
      </c>
    </row>
    <row r="230" ht="15.75" customHeight="1">
      <c r="A230" s="4">
        <v>6301.0</v>
      </c>
      <c r="B230" s="4" t="s">
        <v>222</v>
      </c>
      <c r="C230" s="4">
        <v>0.05</v>
      </c>
      <c r="D230" s="4">
        <v>10.77</v>
      </c>
    </row>
    <row r="231" ht="15.75" customHeight="1">
      <c r="A231" s="4">
        <v>6309.0</v>
      </c>
      <c r="B231" s="4" t="s">
        <v>219</v>
      </c>
      <c r="C231" s="4">
        <v>0.02</v>
      </c>
      <c r="D231" s="4">
        <v>3.14</v>
      </c>
    </row>
    <row r="232" ht="15.75" customHeight="1">
      <c r="A232" s="4">
        <v>6310.0</v>
      </c>
      <c r="B232" s="4" t="s">
        <v>227</v>
      </c>
      <c r="C232" s="4">
        <v>0.01</v>
      </c>
      <c r="D232" s="4">
        <v>3.05</v>
      </c>
    </row>
    <row r="233" ht="15.75" customHeight="1">
      <c r="A233" s="4">
        <v>6303.0</v>
      </c>
      <c r="B233" s="4" t="s">
        <v>226</v>
      </c>
      <c r="C233" s="4">
        <v>0.01</v>
      </c>
      <c r="D233" s="4">
        <v>1.93</v>
      </c>
    </row>
    <row r="234" ht="15.75" customHeight="1">
      <c r="A234" s="4">
        <v>6304.0</v>
      </c>
      <c r="B234" s="4" t="s">
        <v>225</v>
      </c>
      <c r="C234" s="4">
        <v>0.01</v>
      </c>
      <c r="D234" s="4">
        <v>1.57</v>
      </c>
    </row>
    <row r="235" ht="15.75" customHeight="1"/>
    <row r="236" ht="15.75" customHeight="1"/>
    <row r="237" ht="15.75" customHeight="1">
      <c r="A237" s="4" t="s">
        <v>230</v>
      </c>
    </row>
    <row r="238" ht="15.75" customHeight="1"/>
    <row r="239" ht="15.75" customHeight="1">
      <c r="A239" s="4" t="s">
        <v>32</v>
      </c>
      <c r="B239" s="4" t="s">
        <v>33</v>
      </c>
      <c r="C239" s="4" t="s">
        <v>34</v>
      </c>
      <c r="D239" s="4" t="s">
        <v>35</v>
      </c>
    </row>
    <row r="240" ht="15.75" customHeight="1">
      <c r="A240" s="4">
        <v>6406.0</v>
      </c>
      <c r="B240" s="4" t="s">
        <v>231</v>
      </c>
      <c r="C240" s="4">
        <v>0.82</v>
      </c>
      <c r="D240" s="4">
        <v>244.41</v>
      </c>
    </row>
    <row r="241" ht="15.75" customHeight="1">
      <c r="A241" s="4">
        <v>6402.0</v>
      </c>
      <c r="B241" s="4" t="s">
        <v>232</v>
      </c>
      <c r="C241" s="4">
        <v>0.03</v>
      </c>
      <c r="D241" s="4">
        <v>8.78</v>
      </c>
    </row>
    <row r="242" ht="15.75" customHeight="1">
      <c r="A242" s="4">
        <v>6403.0</v>
      </c>
      <c r="B242" s="4" t="s">
        <v>233</v>
      </c>
      <c r="C242" s="4">
        <v>0.01</v>
      </c>
      <c r="D242" s="4">
        <v>4.23</v>
      </c>
    </row>
    <row r="243" ht="15.75" customHeight="1">
      <c r="A243" s="4">
        <v>6404.0</v>
      </c>
      <c r="B243" s="4" t="s">
        <v>134</v>
      </c>
      <c r="C243" s="4">
        <v>0.01</v>
      </c>
      <c r="D243" s="4">
        <v>2.47</v>
      </c>
    </row>
    <row r="244" ht="15.75" customHeight="1">
      <c r="A244" s="4">
        <v>6405.0</v>
      </c>
      <c r="B244" s="4" t="s">
        <v>234</v>
      </c>
      <c r="C244" s="4">
        <v>0.0</v>
      </c>
      <c r="D244" s="4">
        <v>1.17</v>
      </c>
    </row>
    <row r="245" ht="15.75" customHeight="1">
      <c r="A245" s="4">
        <v>6401.0</v>
      </c>
      <c r="B245" s="4" t="s">
        <v>235</v>
      </c>
      <c r="C245" s="4">
        <v>0.0</v>
      </c>
      <c r="D245" s="4">
        <v>0.12</v>
      </c>
    </row>
    <row r="246" ht="15.75" customHeight="1"/>
    <row r="247" ht="15.75" customHeight="1">
      <c r="A247" s="4" t="s">
        <v>236</v>
      </c>
    </row>
    <row r="248" ht="15.75" customHeight="1"/>
    <row r="249" ht="15.75" customHeight="1">
      <c r="A249" s="4" t="s">
        <v>32</v>
      </c>
      <c r="B249" s="4" t="s">
        <v>33</v>
      </c>
      <c r="C249" s="4" t="s">
        <v>34</v>
      </c>
      <c r="D249" s="4" t="s">
        <v>35</v>
      </c>
    </row>
    <row r="250" ht="15.75" customHeight="1">
      <c r="A250" s="4">
        <v>6404.0</v>
      </c>
      <c r="B250" s="4" t="s">
        <v>134</v>
      </c>
      <c r="C250" s="4">
        <v>3.11</v>
      </c>
      <c r="D250" s="4">
        <v>640.34</v>
      </c>
    </row>
    <row r="251" ht="15.75" customHeight="1">
      <c r="A251" s="4">
        <v>6403.0</v>
      </c>
      <c r="B251" s="4" t="s">
        <v>233</v>
      </c>
      <c r="C251" s="4">
        <v>2.85</v>
      </c>
      <c r="D251" s="4">
        <v>586.82</v>
      </c>
    </row>
    <row r="252" ht="15.75" customHeight="1">
      <c r="A252" s="4">
        <v>6402.0</v>
      </c>
      <c r="B252" s="4" t="s">
        <v>232</v>
      </c>
      <c r="C252" s="4">
        <v>2.32</v>
      </c>
      <c r="D252" s="4">
        <v>477.43</v>
      </c>
    </row>
    <row r="253" ht="15.75" customHeight="1">
      <c r="A253" s="4">
        <v>6406.0</v>
      </c>
      <c r="B253" s="4" t="s">
        <v>231</v>
      </c>
      <c r="C253" s="4">
        <v>0.13</v>
      </c>
      <c r="D253" s="4">
        <v>25.98</v>
      </c>
    </row>
    <row r="254" ht="15.75" customHeight="1">
      <c r="A254" s="4">
        <v>6405.0</v>
      </c>
      <c r="B254" s="4" t="s">
        <v>234</v>
      </c>
      <c r="C254" s="4">
        <v>0.02</v>
      </c>
      <c r="D254" s="4">
        <v>4.1</v>
      </c>
    </row>
    <row r="255" ht="15.75" customHeight="1">
      <c r="A255" s="4">
        <v>6401.0</v>
      </c>
      <c r="B255" s="4" t="s">
        <v>235</v>
      </c>
      <c r="C255" s="4">
        <v>0.01</v>
      </c>
      <c r="D255" s="4">
        <v>2.44</v>
      </c>
    </row>
    <row r="256" ht="15.75" customHeight="1"/>
    <row r="257" ht="15.75" customHeight="1"/>
    <row r="258" ht="15.75" customHeight="1">
      <c r="A258" s="4" t="s">
        <v>237</v>
      </c>
    </row>
    <row r="259" ht="15.75" customHeight="1"/>
    <row r="260" ht="15.75" customHeight="1">
      <c r="A260" s="4" t="s">
        <v>32</v>
      </c>
      <c r="B260" s="4" t="s">
        <v>33</v>
      </c>
      <c r="C260" s="4" t="s">
        <v>34</v>
      </c>
      <c r="D260" s="4" t="s">
        <v>35</v>
      </c>
    </row>
    <row r="261" ht="15.75" customHeight="1">
      <c r="A261" s="4">
        <v>6506.0</v>
      </c>
      <c r="B261" s="4" t="s">
        <v>238</v>
      </c>
      <c r="C261" s="4">
        <v>0.01</v>
      </c>
      <c r="D261" s="4">
        <v>2.09</v>
      </c>
    </row>
    <row r="262" ht="15.75" customHeight="1">
      <c r="A262" s="4">
        <v>6505.0</v>
      </c>
      <c r="B262" s="4" t="s">
        <v>239</v>
      </c>
      <c r="C262" s="4">
        <v>0.0</v>
      </c>
      <c r="D262" s="4">
        <v>0.75</v>
      </c>
    </row>
    <row r="263" ht="15.75" customHeight="1">
      <c r="A263" s="4">
        <v>6504.0</v>
      </c>
      <c r="B263" s="4" t="s">
        <v>240</v>
      </c>
      <c r="C263" s="4">
        <v>0.0</v>
      </c>
      <c r="D263" s="4">
        <v>0.16</v>
      </c>
    </row>
    <row r="264" ht="15.75" customHeight="1">
      <c r="A264" s="4">
        <v>6501.0</v>
      </c>
      <c r="B264" s="4" t="s">
        <v>241</v>
      </c>
      <c r="C264" s="4">
        <v>0.0</v>
      </c>
      <c r="D264" s="4">
        <v>0.02</v>
      </c>
    </row>
    <row r="265" ht="15.75" customHeight="1">
      <c r="A265" s="4">
        <v>6507.0</v>
      </c>
      <c r="B265" s="4" t="s">
        <v>242</v>
      </c>
      <c r="C265" s="4">
        <v>0.0</v>
      </c>
      <c r="D265" s="4">
        <v>0.02</v>
      </c>
    </row>
    <row r="266" ht="15.75" customHeight="1"/>
    <row r="267" ht="15.75" customHeight="1">
      <c r="A267" s="4" t="s">
        <v>243</v>
      </c>
    </row>
    <row r="268" ht="15.75" customHeight="1"/>
    <row r="269" ht="15.75" customHeight="1">
      <c r="A269" s="4" t="s">
        <v>32</v>
      </c>
      <c r="B269" s="4" t="s">
        <v>33</v>
      </c>
      <c r="C269" s="4" t="s">
        <v>34</v>
      </c>
      <c r="D269" s="4" t="s">
        <v>35</v>
      </c>
    </row>
    <row r="270" ht="15.75" customHeight="1">
      <c r="A270" s="4">
        <v>6505.0</v>
      </c>
      <c r="B270" s="4" t="s">
        <v>239</v>
      </c>
      <c r="C270" s="4">
        <v>0.2</v>
      </c>
      <c r="D270" s="4">
        <v>41.09</v>
      </c>
    </row>
    <row r="271" ht="15.75" customHeight="1">
      <c r="A271" s="4">
        <v>6507.0</v>
      </c>
      <c r="B271" s="4" t="s">
        <v>242</v>
      </c>
      <c r="C271" s="4">
        <v>0.03</v>
      </c>
      <c r="D271" s="4">
        <v>5.18</v>
      </c>
    </row>
    <row r="272" ht="15.75" customHeight="1">
      <c r="A272" s="4">
        <v>6506.0</v>
      </c>
      <c r="B272" s="4" t="s">
        <v>238</v>
      </c>
      <c r="C272" s="4">
        <v>0.01</v>
      </c>
      <c r="D272" s="4">
        <v>2.65</v>
      </c>
    </row>
    <row r="273" ht="15.75" customHeight="1">
      <c r="A273" s="4">
        <v>6504.0</v>
      </c>
      <c r="B273" s="4" t="s">
        <v>240</v>
      </c>
      <c r="C273" s="4">
        <v>0.0</v>
      </c>
      <c r="D273" s="4">
        <v>0.32</v>
      </c>
    </row>
    <row r="274" ht="15.75" customHeight="1">
      <c r="A274" s="4">
        <v>6502.0</v>
      </c>
      <c r="B274" s="4" t="s">
        <v>244</v>
      </c>
      <c r="C274" s="4">
        <v>0.0</v>
      </c>
      <c r="D274" s="4">
        <v>0.01</v>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9.18" defaultRowHeight="15.0"/>
  <cols>
    <col customWidth="1" min="1" max="2" width="8.64"/>
    <col customWidth="1" min="3" max="3" width="34.36"/>
    <col customWidth="1" min="4" max="4" width="13.09"/>
    <col customWidth="1" min="5" max="5" width="14.55"/>
    <col customWidth="1" min="6" max="10" width="8.64"/>
    <col customWidth="1" min="11" max="11" width="31.91"/>
    <col customWidth="1" min="12" max="12" width="14.27"/>
    <col customWidth="1" min="13" max="26" width="8.64"/>
  </cols>
  <sheetData>
    <row r="1" ht="15.75" customHeight="1">
      <c r="B1" s="4" t="s">
        <v>51</v>
      </c>
      <c r="J1" s="4" t="s">
        <v>51</v>
      </c>
    </row>
    <row r="2" ht="15.75" customHeight="1">
      <c r="A2" s="1"/>
      <c r="B2" s="1" t="s">
        <v>32</v>
      </c>
      <c r="C2" s="1" t="s">
        <v>33</v>
      </c>
      <c r="D2" s="1" t="s">
        <v>34</v>
      </c>
      <c r="E2" s="1" t="s">
        <v>35</v>
      </c>
      <c r="J2" s="1" t="s">
        <v>32</v>
      </c>
      <c r="K2" s="1" t="s">
        <v>33</v>
      </c>
      <c r="L2" s="1" t="s">
        <v>35</v>
      </c>
    </row>
    <row r="3" ht="15.75" customHeight="1">
      <c r="B3" s="4">
        <v>4002.0</v>
      </c>
      <c r="C3" s="4" t="s">
        <v>245</v>
      </c>
      <c r="D3" s="4">
        <v>0.4</v>
      </c>
      <c r="E3" s="4">
        <v>118.57</v>
      </c>
      <c r="I3" s="6"/>
      <c r="J3" s="4">
        <v>4002.0</v>
      </c>
      <c r="K3" s="4" t="s">
        <v>245</v>
      </c>
      <c r="L3" s="4">
        <v>118.57</v>
      </c>
    </row>
    <row r="4" ht="15.75" customHeight="1">
      <c r="B4" s="4">
        <v>4016.0</v>
      </c>
      <c r="C4" s="4" t="s">
        <v>246</v>
      </c>
      <c r="D4" s="4">
        <v>0.37</v>
      </c>
      <c r="E4" s="4">
        <v>111.76</v>
      </c>
      <c r="J4" s="4">
        <v>4016.0</v>
      </c>
      <c r="K4" s="4" t="s">
        <v>246</v>
      </c>
      <c r="L4" s="4">
        <v>111.76</v>
      </c>
    </row>
    <row r="5" ht="15.75" customHeight="1">
      <c r="B5" s="4">
        <v>4011.0</v>
      </c>
      <c r="C5" s="4" t="s">
        <v>247</v>
      </c>
      <c r="D5" s="4">
        <v>0.2</v>
      </c>
      <c r="E5" s="4">
        <v>59.35</v>
      </c>
      <c r="J5" s="4">
        <v>4011.0</v>
      </c>
      <c r="K5" s="4" t="s">
        <v>247</v>
      </c>
      <c r="L5" s="4">
        <v>59.35</v>
      </c>
    </row>
    <row r="6" ht="15.75" customHeight="1">
      <c r="B6" s="4">
        <v>4008.0</v>
      </c>
      <c r="C6" s="4" t="s">
        <v>248</v>
      </c>
      <c r="D6" s="4">
        <v>0.07</v>
      </c>
      <c r="E6" s="4">
        <v>21.6</v>
      </c>
      <c r="J6" s="4">
        <v>4008.0</v>
      </c>
      <c r="K6" s="4" t="s">
        <v>248</v>
      </c>
      <c r="L6" s="4">
        <v>21.6</v>
      </c>
    </row>
    <row r="7" ht="15.75" customHeight="1">
      <c r="B7" s="4">
        <v>4005.0</v>
      </c>
      <c r="C7" s="4" t="s">
        <v>249</v>
      </c>
      <c r="D7" s="4">
        <v>0.05</v>
      </c>
      <c r="E7" s="4">
        <v>16.23</v>
      </c>
      <c r="J7" s="4">
        <v>4005.0</v>
      </c>
      <c r="K7" s="4" t="s">
        <v>249</v>
      </c>
      <c r="L7" s="4">
        <v>16.23</v>
      </c>
    </row>
    <row r="8" ht="15.75" customHeight="1">
      <c r="B8" s="4">
        <v>4015.0</v>
      </c>
      <c r="C8" s="4" t="s">
        <v>250</v>
      </c>
      <c r="D8" s="4">
        <v>0.05</v>
      </c>
      <c r="E8" s="4">
        <v>14.85</v>
      </c>
      <c r="J8" s="4">
        <v>4015.0</v>
      </c>
      <c r="K8" s="4" t="s">
        <v>250</v>
      </c>
      <c r="L8" s="4">
        <v>14.85</v>
      </c>
    </row>
    <row r="9" ht="15.75" customHeight="1">
      <c r="B9" s="4">
        <v>4013.0</v>
      </c>
      <c r="C9" s="4" t="s">
        <v>251</v>
      </c>
      <c r="D9" s="4">
        <v>0.03</v>
      </c>
      <c r="E9" s="4">
        <v>9.19</v>
      </c>
      <c r="J9" s="4">
        <v>4013.0</v>
      </c>
      <c r="K9" s="4" t="s">
        <v>251</v>
      </c>
      <c r="L9" s="4">
        <v>9.19</v>
      </c>
    </row>
    <row r="10" ht="15.75" customHeight="1">
      <c r="B10" s="4">
        <v>4006.0</v>
      </c>
      <c r="C10" s="4" t="s">
        <v>252</v>
      </c>
      <c r="D10" s="4">
        <v>0.02</v>
      </c>
      <c r="E10" s="4">
        <v>6.23</v>
      </c>
      <c r="J10" s="4">
        <v>4006.0</v>
      </c>
      <c r="K10" s="4" t="s">
        <v>252</v>
      </c>
      <c r="L10" s="4">
        <v>6.23</v>
      </c>
    </row>
    <row r="11" ht="15.75" customHeight="1">
      <c r="B11" s="4">
        <v>4009.0</v>
      </c>
      <c r="C11" s="4" t="s">
        <v>253</v>
      </c>
      <c r="D11" s="4">
        <v>0.01</v>
      </c>
      <c r="E11" s="4">
        <v>4.3</v>
      </c>
      <c r="J11" s="4">
        <v>4009.0</v>
      </c>
      <c r="K11" s="4" t="s">
        <v>253</v>
      </c>
      <c r="L11" s="4">
        <v>4.3</v>
      </c>
    </row>
    <row r="12" ht="15.75" customHeight="1">
      <c r="B12" s="4">
        <v>4010.0</v>
      </c>
      <c r="C12" s="4" t="s">
        <v>254</v>
      </c>
      <c r="D12" s="4">
        <v>0.01</v>
      </c>
      <c r="E12" s="4">
        <v>3.73</v>
      </c>
      <c r="J12" s="4">
        <v>4010.0</v>
      </c>
      <c r="K12" s="4" t="s">
        <v>254</v>
      </c>
      <c r="L12" s="4">
        <v>3.73</v>
      </c>
    </row>
    <row r="13" ht="15.75" customHeight="1">
      <c r="A13" s="10"/>
      <c r="B13" s="10">
        <v>4001.0</v>
      </c>
      <c r="C13" s="10" t="s">
        <v>255</v>
      </c>
      <c r="D13" s="10">
        <v>0.01</v>
      </c>
      <c r="E13" s="10">
        <v>2.74</v>
      </c>
      <c r="G13" s="4">
        <f>SUM(E3:E13)</f>
        <v>368.55</v>
      </c>
      <c r="J13" s="10">
        <v>4001.0</v>
      </c>
      <c r="K13" s="10" t="s">
        <v>255</v>
      </c>
      <c r="L13" s="10">
        <v>2.74</v>
      </c>
    </row>
    <row r="14" ht="15.75" customHeight="1">
      <c r="B14" s="4" t="s">
        <v>88</v>
      </c>
      <c r="J14" s="4" t="s">
        <v>88</v>
      </c>
    </row>
    <row r="15" ht="15.75" customHeight="1">
      <c r="A15" s="1"/>
      <c r="B15" s="1" t="s">
        <v>32</v>
      </c>
      <c r="C15" s="1" t="s">
        <v>33</v>
      </c>
      <c r="D15" s="1" t="s">
        <v>34</v>
      </c>
      <c r="E15" s="1" t="s">
        <v>35</v>
      </c>
      <c r="J15" s="1" t="s">
        <v>32</v>
      </c>
      <c r="K15" s="1" t="s">
        <v>33</v>
      </c>
      <c r="L15" s="1" t="s">
        <v>35</v>
      </c>
    </row>
    <row r="16" ht="15.75" customHeight="1">
      <c r="B16" s="4">
        <v>4001.0</v>
      </c>
      <c r="C16" s="4" t="s">
        <v>255</v>
      </c>
      <c r="D16" s="4">
        <v>1.94</v>
      </c>
      <c r="E16" s="4">
        <v>398.39</v>
      </c>
      <c r="J16" s="4">
        <v>4001.0</v>
      </c>
      <c r="K16" s="4" t="s">
        <v>255</v>
      </c>
      <c r="L16" s="4">
        <v>398.39</v>
      </c>
    </row>
    <row r="17" ht="15.75" customHeight="1">
      <c r="B17" s="4">
        <v>4011.0</v>
      </c>
      <c r="C17" s="4" t="s">
        <v>247</v>
      </c>
      <c r="D17" s="4">
        <v>0.6</v>
      </c>
      <c r="E17" s="4">
        <v>123.04</v>
      </c>
      <c r="I17" s="6"/>
      <c r="J17" s="4">
        <v>4011.0</v>
      </c>
      <c r="K17" s="4" t="s">
        <v>247</v>
      </c>
      <c r="L17" s="4">
        <v>123.04</v>
      </c>
    </row>
    <row r="18" ht="15.75" customHeight="1">
      <c r="B18" s="4">
        <v>4015.0</v>
      </c>
      <c r="C18" s="4" t="s">
        <v>250</v>
      </c>
      <c r="D18" s="4">
        <v>0.04</v>
      </c>
      <c r="E18" s="4">
        <v>8.46</v>
      </c>
      <c r="J18" s="4">
        <v>4015.0</v>
      </c>
      <c r="K18" s="4" t="s">
        <v>250</v>
      </c>
      <c r="L18" s="4">
        <v>8.46</v>
      </c>
    </row>
    <row r="19" ht="15.75" customHeight="1">
      <c r="B19" s="4">
        <v>4016.0</v>
      </c>
      <c r="C19" s="4" t="s">
        <v>246</v>
      </c>
      <c r="D19" s="4">
        <v>0.0</v>
      </c>
      <c r="E19" s="4">
        <v>0.88</v>
      </c>
      <c r="J19" s="4">
        <v>4016.0</v>
      </c>
      <c r="K19" s="4" t="s">
        <v>246</v>
      </c>
      <c r="L19" s="4">
        <v>0.88</v>
      </c>
    </row>
    <row r="20" ht="15.75" customHeight="1">
      <c r="B20" s="4">
        <v>4006.0</v>
      </c>
      <c r="C20" s="4" t="s">
        <v>252</v>
      </c>
      <c r="D20" s="4">
        <v>0.0</v>
      </c>
      <c r="E20" s="4">
        <v>0.05</v>
      </c>
      <c r="J20" s="4">
        <v>4006.0</v>
      </c>
      <c r="K20" s="4" t="s">
        <v>252</v>
      </c>
      <c r="L20" s="4">
        <v>0.05</v>
      </c>
    </row>
    <row r="21" ht="15.75" customHeight="1">
      <c r="B21" s="4">
        <v>4008.0</v>
      </c>
      <c r="C21" s="4" t="s">
        <v>248</v>
      </c>
      <c r="D21" s="4">
        <v>0.0</v>
      </c>
      <c r="E21" s="4">
        <v>0.03</v>
      </c>
      <c r="J21" s="4">
        <v>4008.0</v>
      </c>
      <c r="K21" s="4" t="s">
        <v>248</v>
      </c>
      <c r="L21" s="4">
        <v>0.03</v>
      </c>
    </row>
    <row r="22" ht="15.75" customHeight="1">
      <c r="B22" s="4">
        <v>4002.0</v>
      </c>
      <c r="C22" s="4" t="s">
        <v>245</v>
      </c>
      <c r="D22" s="4">
        <v>0.0</v>
      </c>
      <c r="E22" s="4">
        <v>0.03</v>
      </c>
      <c r="J22" s="4">
        <v>4002.0</v>
      </c>
      <c r="K22" s="4" t="s">
        <v>245</v>
      </c>
      <c r="L22" s="4">
        <v>0.03</v>
      </c>
    </row>
    <row r="23" ht="15.75" customHeight="1">
      <c r="B23" s="4">
        <v>4012.0</v>
      </c>
      <c r="C23" s="4" t="s">
        <v>256</v>
      </c>
      <c r="D23" s="4">
        <v>0.0</v>
      </c>
      <c r="E23" s="4">
        <v>0.0</v>
      </c>
      <c r="J23" s="4">
        <v>4012.0</v>
      </c>
      <c r="K23" s="4" t="s">
        <v>256</v>
      </c>
      <c r="L23" s="4">
        <v>0.0</v>
      </c>
    </row>
    <row r="24" ht="15.75" customHeight="1">
      <c r="B24" s="4">
        <v>4010.0</v>
      </c>
      <c r="C24" s="4" t="s">
        <v>254</v>
      </c>
      <c r="D24" s="4">
        <v>0.0</v>
      </c>
      <c r="E24" s="4">
        <v>0.0</v>
      </c>
      <c r="J24" s="4">
        <v>4010.0</v>
      </c>
      <c r="K24" s="4" t="s">
        <v>254</v>
      </c>
      <c r="L24" s="4">
        <v>0.0</v>
      </c>
    </row>
    <row r="25" ht="15.75" customHeight="1">
      <c r="B25" s="4">
        <v>4003.0</v>
      </c>
      <c r="C25" s="4" t="s">
        <v>257</v>
      </c>
      <c r="D25" s="4">
        <v>0.0</v>
      </c>
      <c r="E25" s="4">
        <v>0.0</v>
      </c>
      <c r="J25" s="4">
        <v>4003.0</v>
      </c>
      <c r="K25" s="4" t="s">
        <v>257</v>
      </c>
      <c r="L25" s="4">
        <v>0.0</v>
      </c>
    </row>
    <row r="26" ht="15.75" customHeight="1">
      <c r="A26" s="10"/>
      <c r="B26" s="10">
        <v>4013.0</v>
      </c>
      <c r="C26" s="10" t="s">
        <v>251</v>
      </c>
      <c r="D26" s="10">
        <v>0.0</v>
      </c>
      <c r="E26" s="10">
        <v>0.0</v>
      </c>
      <c r="J26" s="10">
        <v>4013.0</v>
      </c>
      <c r="K26" s="10" t="s">
        <v>251</v>
      </c>
      <c r="L26" s="10">
        <v>0.0</v>
      </c>
    </row>
    <row r="27" ht="15.75" customHeight="1"/>
    <row r="28" ht="15.75" customHeight="1"/>
    <row r="29" ht="15.75" customHeight="1">
      <c r="A29" s="4" t="s">
        <v>258</v>
      </c>
    </row>
    <row r="30" ht="15.75" customHeight="1">
      <c r="B30" s="4" t="s">
        <v>259</v>
      </c>
    </row>
    <row r="31" ht="15.75" customHeight="1">
      <c r="A31" s="15"/>
      <c r="B31" s="15" t="s">
        <v>59</v>
      </c>
      <c r="C31" s="15">
        <v>2.993763252503E10</v>
      </c>
      <c r="D31" s="15" t="s">
        <v>60</v>
      </c>
      <c r="E31" s="15"/>
      <c r="F31" s="15"/>
    </row>
    <row r="32" ht="15.75" customHeight="1">
      <c r="A32" s="15">
        <v>1.0</v>
      </c>
      <c r="B32" s="15">
        <v>40.0</v>
      </c>
      <c r="C32" s="15" t="s">
        <v>260</v>
      </c>
      <c r="D32" s="15">
        <v>3.7346939328E8</v>
      </c>
      <c r="E32" s="15">
        <v>373.47</v>
      </c>
      <c r="F32" s="15">
        <v>1.25</v>
      </c>
    </row>
    <row r="33" ht="15.75" customHeight="1">
      <c r="A33" s="15">
        <v>2.0</v>
      </c>
      <c r="B33" s="15">
        <v>4002.0</v>
      </c>
      <c r="C33" s="15" t="s">
        <v>261</v>
      </c>
      <c r="D33" s="15">
        <v>1.1857182348E8</v>
      </c>
      <c r="E33" s="15">
        <v>118.57</v>
      </c>
      <c r="F33" s="15">
        <v>0.4</v>
      </c>
    </row>
    <row r="34" ht="15.75" customHeight="1">
      <c r="A34" s="15">
        <v>3.0</v>
      </c>
      <c r="B34" s="15">
        <v>4016.0</v>
      </c>
      <c r="C34" s="15" t="s">
        <v>262</v>
      </c>
      <c r="D34" s="15">
        <v>1.1176053478E8</v>
      </c>
      <c r="E34" s="15">
        <v>111.76</v>
      </c>
      <c r="F34" s="15">
        <v>0.37</v>
      </c>
    </row>
    <row r="35" ht="15.75" customHeight="1">
      <c r="A35" s="15">
        <v>4.0</v>
      </c>
      <c r="B35" s="15">
        <v>4011.0</v>
      </c>
      <c r="C35" s="15" t="s">
        <v>263</v>
      </c>
      <c r="D35" s="15">
        <v>5.935413409E7</v>
      </c>
      <c r="E35" s="15">
        <v>59.35</v>
      </c>
      <c r="F35" s="15">
        <v>0.2</v>
      </c>
    </row>
    <row r="36" ht="15.75" customHeight="1">
      <c r="A36" s="15">
        <v>5.0</v>
      </c>
      <c r="B36" s="15">
        <v>4008.0</v>
      </c>
      <c r="C36" s="15" t="s">
        <v>264</v>
      </c>
      <c r="D36" s="15">
        <v>2.160331737E7</v>
      </c>
      <c r="E36" s="15">
        <v>21.6</v>
      </c>
      <c r="F36" s="15">
        <v>0.07</v>
      </c>
    </row>
    <row r="37" ht="15.75" customHeight="1">
      <c r="A37" s="15">
        <v>6.0</v>
      </c>
      <c r="B37" s="15">
        <v>4005.0</v>
      </c>
      <c r="C37" s="15" t="s">
        <v>265</v>
      </c>
      <c r="D37" s="15">
        <v>1.622888893E7</v>
      </c>
      <c r="E37" s="15">
        <v>16.23</v>
      </c>
      <c r="F37" s="15">
        <v>0.05</v>
      </c>
    </row>
    <row r="38" ht="15.75" customHeight="1">
      <c r="A38" s="15">
        <v>7.0</v>
      </c>
      <c r="B38" s="15">
        <v>4015.0</v>
      </c>
      <c r="C38" s="15" t="s">
        <v>266</v>
      </c>
      <c r="D38" s="15">
        <v>1.48502515E7</v>
      </c>
      <c r="E38" s="15">
        <v>14.85</v>
      </c>
      <c r="F38" s="15">
        <v>0.05</v>
      </c>
    </row>
    <row r="39" ht="15.75" customHeight="1">
      <c r="A39" s="15">
        <v>8.0</v>
      </c>
      <c r="B39" s="15">
        <v>4013.0</v>
      </c>
      <c r="C39" s="15" t="s">
        <v>267</v>
      </c>
      <c r="D39" s="15">
        <v>9187244.39</v>
      </c>
      <c r="E39" s="15">
        <v>9.19</v>
      </c>
      <c r="F39" s="15">
        <v>0.03</v>
      </c>
    </row>
    <row r="40" ht="15.75" customHeight="1">
      <c r="A40" s="15">
        <v>9.0</v>
      </c>
      <c r="B40" s="15">
        <v>4006.0</v>
      </c>
      <c r="C40" s="15" t="s">
        <v>268</v>
      </c>
      <c r="D40" s="15">
        <v>6234770.29</v>
      </c>
      <c r="E40" s="15">
        <v>6.23</v>
      </c>
      <c r="F40" s="15">
        <v>0.02</v>
      </c>
    </row>
    <row r="41" ht="15.75" customHeight="1">
      <c r="A41" s="15">
        <v>10.0</v>
      </c>
      <c r="B41" s="15">
        <v>4009.0</v>
      </c>
      <c r="C41" s="15" t="s">
        <v>269</v>
      </c>
      <c r="D41" s="15">
        <v>4297877.34</v>
      </c>
      <c r="E41" s="15">
        <v>4.3</v>
      </c>
      <c r="F41" s="15">
        <v>0.01</v>
      </c>
    </row>
    <row r="42" ht="15.75" customHeight="1">
      <c r="A42" s="15">
        <v>11.0</v>
      </c>
      <c r="B42" s="15">
        <v>4010.0</v>
      </c>
      <c r="C42" s="15" t="s">
        <v>270</v>
      </c>
      <c r="D42" s="15">
        <v>3731198.98</v>
      </c>
      <c r="E42" s="15">
        <v>3.73</v>
      </c>
      <c r="F42" s="15">
        <v>0.01</v>
      </c>
    </row>
    <row r="43" ht="15.75" customHeight="1">
      <c r="A43" s="15">
        <v>12.0</v>
      </c>
      <c r="B43" s="15">
        <v>4001.0</v>
      </c>
      <c r="C43" s="15" t="s">
        <v>271</v>
      </c>
      <c r="D43" s="15">
        <v>2736367.32</v>
      </c>
      <c r="E43" s="15">
        <v>2.74</v>
      </c>
      <c r="F43" s="15">
        <v>0.01</v>
      </c>
    </row>
    <row r="44" ht="15.75" customHeight="1">
      <c r="A44" s="15">
        <v>13.0</v>
      </c>
      <c r="B44" s="15">
        <v>4014.0</v>
      </c>
      <c r="C44" s="15" t="s">
        <v>272</v>
      </c>
      <c r="D44" s="15">
        <v>1833457.6</v>
      </c>
      <c r="E44" s="15">
        <v>1.83</v>
      </c>
      <c r="F44" s="15">
        <v>0.01</v>
      </c>
    </row>
    <row r="45" ht="15.75" customHeight="1">
      <c r="A45" s="15">
        <v>14.0</v>
      </c>
      <c r="B45" s="15">
        <v>4007.0</v>
      </c>
      <c r="C45" s="15" t="s">
        <v>273</v>
      </c>
      <c r="D45" s="15">
        <v>1312413.18</v>
      </c>
      <c r="E45" s="15">
        <v>1.31</v>
      </c>
      <c r="F45" s="15"/>
    </row>
    <row r="46" ht="15.75" customHeight="1">
      <c r="A46" s="15">
        <v>15.0</v>
      </c>
      <c r="B46" s="15">
        <v>4012.0</v>
      </c>
      <c r="C46" s="15" t="s">
        <v>274</v>
      </c>
      <c r="D46" s="15">
        <v>918805.33</v>
      </c>
      <c r="E46" s="15">
        <v>0.92</v>
      </c>
      <c r="F46" s="15"/>
    </row>
    <row r="47" ht="15.75" customHeight="1">
      <c r="A47" s="15">
        <v>16.0</v>
      </c>
      <c r="B47" s="15">
        <v>4003.0</v>
      </c>
      <c r="C47" s="15" t="s">
        <v>275</v>
      </c>
      <c r="D47" s="15">
        <v>693294.34</v>
      </c>
      <c r="E47" s="15">
        <v>0.69</v>
      </c>
      <c r="F47" s="15"/>
    </row>
    <row r="48" ht="15.75" customHeight="1">
      <c r="A48" s="15">
        <v>17.0</v>
      </c>
      <c r="B48" s="15">
        <v>4004.0</v>
      </c>
      <c r="C48" s="15" t="s">
        <v>276</v>
      </c>
      <c r="D48" s="15">
        <v>139719.34</v>
      </c>
      <c r="E48" s="15">
        <v>0.14</v>
      </c>
      <c r="F48" s="15"/>
    </row>
    <row r="49" ht="15.75" customHeight="1">
      <c r="A49" s="15">
        <v>18.0</v>
      </c>
      <c r="B49" s="15">
        <v>4017.0</v>
      </c>
      <c r="C49" s="15" t="s">
        <v>277</v>
      </c>
      <c r="D49" s="15">
        <v>15295.02</v>
      </c>
      <c r="E49" s="15">
        <v>0.02</v>
      </c>
      <c r="F49" s="15"/>
    </row>
    <row r="50" ht="15.75" customHeight="1"/>
    <row r="51" ht="15.75" customHeight="1">
      <c r="E51" s="4">
        <f>SUM(E33:E49)</f>
        <v>373.46</v>
      </c>
    </row>
    <row r="52" ht="15.75" customHeight="1">
      <c r="E52" s="4">
        <f>(E51-E43)</f>
        <v>370.72</v>
      </c>
    </row>
    <row r="53" ht="15.75" customHeight="1"/>
    <row r="54" ht="15.75" customHeight="1">
      <c r="A54" s="4" t="s">
        <v>278</v>
      </c>
    </row>
    <row r="55" ht="15.75" customHeight="1"/>
    <row r="56" ht="15.75" customHeight="1">
      <c r="A56" s="21" t="s">
        <v>52</v>
      </c>
      <c r="B56" s="22">
        <v>40.0</v>
      </c>
      <c r="C56" s="22" t="s">
        <v>260</v>
      </c>
      <c r="D56" s="22"/>
      <c r="E56" s="22"/>
    </row>
    <row r="57" ht="15.75" customHeight="1">
      <c r="A57" s="21" t="s">
        <v>54</v>
      </c>
      <c r="B57" s="21" t="s">
        <v>55</v>
      </c>
      <c r="C57" s="21" t="s">
        <v>33</v>
      </c>
      <c r="D57" s="21" t="s">
        <v>56</v>
      </c>
      <c r="E57" s="21" t="s">
        <v>57</v>
      </c>
      <c r="F57" s="21" t="s">
        <v>58</v>
      </c>
    </row>
    <row r="58" ht="15.75" customHeight="1">
      <c r="A58" s="22"/>
      <c r="B58" s="22" t="s">
        <v>59</v>
      </c>
      <c r="C58" s="22">
        <v>2.0575772753E10</v>
      </c>
      <c r="D58" s="23">
        <v>20575.77</v>
      </c>
      <c r="E58" s="22"/>
      <c r="F58" s="22"/>
    </row>
    <row r="59" ht="15.75" customHeight="1">
      <c r="A59" s="22">
        <v>1.0</v>
      </c>
      <c r="B59" s="22">
        <v>40.0</v>
      </c>
      <c r="C59" s="22" t="s">
        <v>260</v>
      </c>
      <c r="D59" s="22">
        <v>5.308845678E8</v>
      </c>
      <c r="E59" s="22">
        <v>530.88</v>
      </c>
      <c r="F59" s="22">
        <v>2.58</v>
      </c>
    </row>
    <row r="60" ht="15.75" customHeight="1">
      <c r="A60" s="22">
        <v>2.0</v>
      </c>
      <c r="B60" s="22">
        <v>4001.0</v>
      </c>
      <c r="C60" s="22" t="s">
        <v>271</v>
      </c>
      <c r="D60" s="22">
        <v>3.983884441E8</v>
      </c>
      <c r="E60" s="22">
        <v>398.39</v>
      </c>
      <c r="F60" s="22">
        <v>1.94</v>
      </c>
    </row>
    <row r="61" ht="15.75" customHeight="1">
      <c r="A61" s="22">
        <v>3.0</v>
      </c>
      <c r="B61" s="22">
        <v>4011.0</v>
      </c>
      <c r="C61" s="22" t="s">
        <v>263</v>
      </c>
      <c r="D61" s="22">
        <v>1.230380046E8</v>
      </c>
      <c r="E61" s="22">
        <v>123.04</v>
      </c>
      <c r="F61" s="22">
        <v>0.6</v>
      </c>
    </row>
    <row r="62" ht="15.75" customHeight="1">
      <c r="A62" s="22">
        <v>4.0</v>
      </c>
      <c r="B62" s="22">
        <v>4015.0</v>
      </c>
      <c r="C62" s="22" t="s">
        <v>266</v>
      </c>
      <c r="D62" s="22">
        <v>8461814.83</v>
      </c>
      <c r="E62" s="22">
        <v>8.46</v>
      </c>
      <c r="F62" s="22">
        <v>0.04</v>
      </c>
    </row>
    <row r="63" ht="15.75" customHeight="1">
      <c r="A63" s="22">
        <v>5.0</v>
      </c>
      <c r="B63" s="22">
        <v>4016.0</v>
      </c>
      <c r="C63" s="22" t="s">
        <v>262</v>
      </c>
      <c r="D63" s="22">
        <v>875733.53</v>
      </c>
      <c r="E63" s="22">
        <v>0.88</v>
      </c>
      <c r="F63" s="22"/>
    </row>
    <row r="64" ht="15.75" customHeight="1">
      <c r="A64" s="22">
        <v>6.0</v>
      </c>
      <c r="B64" s="22">
        <v>4006.0</v>
      </c>
      <c r="C64" s="22" t="s">
        <v>268</v>
      </c>
      <c r="D64" s="22">
        <v>54069.99</v>
      </c>
      <c r="E64" s="22">
        <v>0.05</v>
      </c>
      <c r="F64" s="22"/>
    </row>
    <row r="65" ht="15.75" customHeight="1">
      <c r="A65" s="22">
        <v>7.0</v>
      </c>
      <c r="B65" s="22">
        <v>4008.0</v>
      </c>
      <c r="C65" s="22" t="s">
        <v>264</v>
      </c>
      <c r="D65" s="22">
        <v>31982.2</v>
      </c>
      <c r="E65" s="22">
        <v>0.03</v>
      </c>
      <c r="F65" s="22"/>
    </row>
    <row r="66" ht="15.75" customHeight="1">
      <c r="A66" s="22">
        <v>8.0</v>
      </c>
      <c r="B66" s="22">
        <v>4002.0</v>
      </c>
      <c r="C66" s="22" t="s">
        <v>261</v>
      </c>
      <c r="D66" s="22">
        <v>25954.0</v>
      </c>
      <c r="E66" s="22">
        <v>0.03</v>
      </c>
      <c r="F66" s="22"/>
    </row>
    <row r="67" ht="15.75" customHeight="1">
      <c r="A67" s="22">
        <v>9.0</v>
      </c>
      <c r="B67" s="22">
        <v>4012.0</v>
      </c>
      <c r="C67" s="22" t="s">
        <v>274</v>
      </c>
      <c r="D67" s="22">
        <v>4700.0</v>
      </c>
      <c r="E67" s="22">
        <v>0.0</v>
      </c>
      <c r="F67" s="22"/>
    </row>
    <row r="68" ht="15.75" customHeight="1">
      <c r="A68" s="22">
        <v>10.0</v>
      </c>
      <c r="B68" s="22">
        <v>4010.0</v>
      </c>
      <c r="C68" s="22" t="s">
        <v>270</v>
      </c>
      <c r="D68" s="22">
        <v>2518.39</v>
      </c>
      <c r="E68" s="22">
        <v>0.0</v>
      </c>
      <c r="F68" s="22"/>
    </row>
    <row r="69" ht="15.75" customHeight="1">
      <c r="A69" s="22">
        <v>11.0</v>
      </c>
      <c r="B69" s="22">
        <v>4003.0</v>
      </c>
      <c r="C69" s="22" t="s">
        <v>275</v>
      </c>
      <c r="D69" s="22">
        <v>1343.05</v>
      </c>
      <c r="E69" s="22">
        <v>0.0</v>
      </c>
      <c r="F69" s="22"/>
    </row>
    <row r="70" ht="15.75" customHeight="1">
      <c r="A70" s="22">
        <v>12.0</v>
      </c>
      <c r="B70" s="22">
        <v>4013.0</v>
      </c>
      <c r="C70" s="22" t="s">
        <v>267</v>
      </c>
      <c r="D70" s="22">
        <v>3.08</v>
      </c>
      <c r="E70" s="22">
        <v>0.0</v>
      </c>
      <c r="F70" s="22"/>
    </row>
    <row r="71" ht="15.75" customHeight="1"/>
    <row r="72" ht="15.75" customHeight="1">
      <c r="E72" s="4">
        <f>SUM(E60:E70)</f>
        <v>530.88</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9.18" defaultRowHeight="15.0"/>
  <cols>
    <col customWidth="1" min="1" max="1" width="23.18"/>
    <col customWidth="1" min="2" max="2" width="13.18"/>
    <col customWidth="1" min="3" max="26" width="8.64"/>
  </cols>
  <sheetData>
    <row r="1" ht="15.75" customHeight="1">
      <c r="A1" s="4" t="s">
        <v>51</v>
      </c>
    </row>
    <row r="2" ht="15.75" customHeight="1">
      <c r="A2" s="4" t="s">
        <v>279</v>
      </c>
      <c r="B2" s="24" t="s">
        <v>280</v>
      </c>
    </row>
    <row r="3" ht="15.75" customHeight="1">
      <c r="A3" s="4" t="s">
        <v>281</v>
      </c>
      <c r="B3" s="17">
        <v>1213.71</v>
      </c>
    </row>
    <row r="4" ht="15.75" customHeight="1">
      <c r="A4" s="4" t="s">
        <v>282</v>
      </c>
      <c r="B4" s="4">
        <v>370.7200000000001</v>
      </c>
    </row>
    <row r="5" ht="15.75" customHeight="1">
      <c r="A5" s="4" t="s">
        <v>283</v>
      </c>
      <c r="B5" s="4">
        <v>4983.0</v>
      </c>
    </row>
    <row r="6" ht="15.75" customHeight="1"/>
    <row r="7" ht="15.75" customHeight="1">
      <c r="A7" s="4" t="s">
        <v>88</v>
      </c>
    </row>
    <row r="8" ht="15.75" customHeight="1">
      <c r="A8" s="4" t="s">
        <v>279</v>
      </c>
      <c r="B8" s="24" t="s">
        <v>284</v>
      </c>
    </row>
    <row r="9" ht="15.75" customHeight="1">
      <c r="A9" s="4" t="s">
        <v>281</v>
      </c>
      <c r="B9" s="4">
        <v>791.0</v>
      </c>
    </row>
    <row r="10" ht="15.75" customHeight="1">
      <c r="A10" s="4" t="s">
        <v>282</v>
      </c>
      <c r="B10" s="4">
        <v>530.8799999999999</v>
      </c>
    </row>
    <row r="11" ht="15.75" customHeight="1">
      <c r="A11" s="4" t="s">
        <v>283</v>
      </c>
      <c r="B11" s="4">
        <v>8838.0</v>
      </c>
    </row>
    <row r="12" ht="15.75" customHeight="1"/>
    <row r="13" ht="15.75" customHeight="1"/>
    <row r="14" ht="15.75" customHeight="1">
      <c r="A14" s="25" t="s">
        <v>285</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9.18" defaultRowHeight="15.0"/>
  <cols>
    <col customWidth="1" min="1" max="1" width="8.64"/>
    <col customWidth="1" min="2" max="2" width="45.82"/>
    <col customWidth="1" min="3" max="3" width="15.55"/>
    <col customWidth="1" min="4" max="26" width="8.64"/>
  </cols>
  <sheetData>
    <row r="1" ht="15.75" customHeight="1">
      <c r="A1" s="26" t="s">
        <v>258</v>
      </c>
      <c r="B1" s="26"/>
      <c r="C1" s="26"/>
    </row>
    <row r="2" ht="15.75" customHeight="1">
      <c r="A2" s="27" t="s">
        <v>32</v>
      </c>
      <c r="B2" s="27" t="s">
        <v>33</v>
      </c>
      <c r="C2" s="27" t="s">
        <v>35</v>
      </c>
    </row>
    <row r="3" ht="15.75" customHeight="1">
      <c r="A3" s="28" t="s">
        <v>283</v>
      </c>
      <c r="B3" s="29"/>
      <c r="C3" s="29"/>
    </row>
    <row r="4" ht="15.75" customHeight="1">
      <c r="A4" s="26">
        <v>6006.0</v>
      </c>
      <c r="B4" s="26" t="s">
        <v>93</v>
      </c>
      <c r="C4" s="30">
        <v>1878.63</v>
      </c>
    </row>
    <row r="5" ht="15.75" customHeight="1">
      <c r="A5" s="26">
        <v>6004.0</v>
      </c>
      <c r="B5" s="26" t="s">
        <v>95</v>
      </c>
      <c r="C5" s="26">
        <v>924.63</v>
      </c>
    </row>
    <row r="6" ht="15.75" customHeight="1">
      <c r="A6" s="26">
        <v>5515.0</v>
      </c>
      <c r="B6" s="26" t="s">
        <v>97</v>
      </c>
      <c r="C6" s="26">
        <v>900.85</v>
      </c>
    </row>
    <row r="7" ht="15.75" customHeight="1">
      <c r="A7" s="31" t="s">
        <v>281</v>
      </c>
      <c r="B7" s="29"/>
      <c r="C7" s="29"/>
    </row>
    <row r="8" ht="15.75" customHeight="1">
      <c r="A8" s="26">
        <v>3921.0</v>
      </c>
      <c r="B8" s="26" t="s">
        <v>36</v>
      </c>
      <c r="C8" s="30">
        <v>223.57</v>
      </c>
    </row>
    <row r="9" ht="15.75" customHeight="1">
      <c r="A9" s="26">
        <v>3926.0</v>
      </c>
      <c r="B9" s="26" t="s">
        <v>286</v>
      </c>
      <c r="C9" s="30">
        <v>149.23</v>
      </c>
    </row>
    <row r="10" ht="15.75" customHeight="1">
      <c r="A10" s="26">
        <v>3904.0</v>
      </c>
      <c r="B10" s="26" t="s">
        <v>38</v>
      </c>
      <c r="C10" s="30">
        <v>142.64</v>
      </c>
    </row>
    <row r="11" ht="15.75" customHeight="1">
      <c r="A11" s="31" t="s">
        <v>282</v>
      </c>
      <c r="B11" s="29"/>
      <c r="C11" s="29"/>
    </row>
    <row r="12" ht="15.75" customHeight="1">
      <c r="A12" s="26">
        <v>4002.0</v>
      </c>
      <c r="B12" s="32" t="s">
        <v>287</v>
      </c>
      <c r="C12" s="26">
        <v>118.57</v>
      </c>
    </row>
    <row r="13" ht="15.75" customHeight="1">
      <c r="A13" s="26">
        <v>4016.0</v>
      </c>
      <c r="B13" s="26" t="s">
        <v>246</v>
      </c>
      <c r="C13" s="26">
        <v>111.76</v>
      </c>
    </row>
    <row r="14" ht="15.75" customHeight="1">
      <c r="A14" s="33">
        <v>4011.0</v>
      </c>
      <c r="B14" s="33" t="s">
        <v>247</v>
      </c>
      <c r="C14" s="33">
        <v>59.35</v>
      </c>
    </row>
    <row r="15" ht="15.75" customHeight="1">
      <c r="A15" s="26"/>
      <c r="B15" s="26"/>
      <c r="C15" s="26"/>
    </row>
    <row r="16" ht="15.75" customHeight="1">
      <c r="A16" s="26" t="s">
        <v>278</v>
      </c>
      <c r="B16" s="26"/>
      <c r="C16" s="26"/>
    </row>
    <row r="17" ht="15.75" customHeight="1">
      <c r="A17" s="27" t="s">
        <v>32</v>
      </c>
      <c r="B17" s="27" t="s">
        <v>33</v>
      </c>
      <c r="C17" s="27" t="s">
        <v>35</v>
      </c>
    </row>
    <row r="18" ht="15.75" customHeight="1">
      <c r="A18" s="28" t="s">
        <v>283</v>
      </c>
      <c r="B18" s="29"/>
      <c r="C18" s="29"/>
    </row>
    <row r="19" ht="15.75" customHeight="1">
      <c r="A19" s="26">
        <v>6110.0</v>
      </c>
      <c r="B19" s="26" t="s">
        <v>124</v>
      </c>
      <c r="C19" s="30">
        <v>1567.75</v>
      </c>
    </row>
    <row r="20" ht="15.75" customHeight="1">
      <c r="A20" s="26">
        <v>6104.0</v>
      </c>
      <c r="B20" s="26" t="s">
        <v>126</v>
      </c>
      <c r="C20" s="30">
        <v>1236.5</v>
      </c>
    </row>
    <row r="21" ht="15.75" customHeight="1">
      <c r="A21" s="26">
        <v>6204.0</v>
      </c>
      <c r="B21" s="26" t="s">
        <v>128</v>
      </c>
      <c r="C21" s="26">
        <v>940.46</v>
      </c>
    </row>
    <row r="22" ht="15.75" customHeight="1">
      <c r="A22" s="31" t="s">
        <v>281</v>
      </c>
      <c r="B22" s="29"/>
      <c r="C22" s="29"/>
    </row>
    <row r="23" ht="15.75" customHeight="1">
      <c r="A23" s="26">
        <v>3925.0</v>
      </c>
      <c r="B23" s="26" t="s">
        <v>47</v>
      </c>
      <c r="C23" s="30">
        <v>262.82</v>
      </c>
    </row>
    <row r="24" ht="15.75" customHeight="1">
      <c r="A24" s="26">
        <v>3923.0</v>
      </c>
      <c r="B24" s="26" t="s">
        <v>39</v>
      </c>
      <c r="C24" s="30">
        <v>48.92</v>
      </c>
    </row>
    <row r="25" ht="15.75" customHeight="1">
      <c r="A25" s="26">
        <v>3926.0</v>
      </c>
      <c r="B25" s="26" t="s">
        <v>37</v>
      </c>
      <c r="C25" s="30">
        <v>37.39</v>
      </c>
    </row>
    <row r="26" ht="15.75" customHeight="1">
      <c r="A26" s="31" t="s">
        <v>282</v>
      </c>
      <c r="B26" s="29"/>
      <c r="C26" s="29"/>
    </row>
    <row r="27" ht="15.75" customHeight="1">
      <c r="A27" s="26">
        <v>4001.0</v>
      </c>
      <c r="B27" s="26" t="s">
        <v>255</v>
      </c>
      <c r="C27" s="26">
        <v>398.39</v>
      </c>
    </row>
    <row r="28" ht="15.75" customHeight="1">
      <c r="A28" s="26">
        <v>4011.0</v>
      </c>
      <c r="B28" s="26" t="s">
        <v>247</v>
      </c>
      <c r="C28" s="26">
        <v>123.04</v>
      </c>
    </row>
    <row r="29" ht="15.75" customHeight="1">
      <c r="A29" s="33">
        <v>4015.0</v>
      </c>
      <c r="B29" s="34" t="s">
        <v>288</v>
      </c>
      <c r="C29" s="33">
        <v>8.46</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3:C3"/>
    <mergeCell ref="A7:C7"/>
    <mergeCell ref="A11:C11"/>
    <mergeCell ref="A18:C18"/>
    <mergeCell ref="A22:C22"/>
    <mergeCell ref="A26:C26"/>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2025-12-18T02:56:36Z</dcterms:created>
  <dc:creator>Stephanie Lavelle</dc:creator>
</cp:coreProperties>
</file>